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https://skgov-my.sharepoint.com/personal/kjaglan_gov_sk_ca/Documents/"/>
    </mc:Choice>
  </mc:AlternateContent>
  <xr:revisionPtr revIDLastSave="0" documentId="8_{9E6F1CCC-5EFE-46D6-8D55-2C2F10A298BE}" xr6:coauthVersionLast="47" xr6:coauthVersionMax="47" xr10:uidLastSave="{00000000-0000-0000-0000-000000000000}"/>
  <bookViews>
    <workbookView xWindow="-120" yWindow="-120" windowWidth="29040" windowHeight="17520" xr2:uid="{6341E4D7-4831-4511-81BA-49290D90C0EA}"/>
  </bookViews>
  <sheets>
    <sheet name="Sheet1" sheetId="1" r:id="rId1"/>
  </sheets>
  <externalReferences>
    <externalReference r:id="rId2"/>
  </externalReferences>
  <definedNames>
    <definedName name="EnterpriseRiskCategory">'[1]Lists and Calcs (Hidden)'!$B$37:$B$47</definedName>
    <definedName name="Impact">'[1]2. Prepare'!$O$35:$S$35</definedName>
    <definedName name="ITRiskCategory">'[1]Lists and Calcs (Hidden)'!$B$50:$B$55</definedName>
    <definedName name="Likelihood">'[1]2. Prepare'!$N$36:$N$40</definedName>
    <definedName name="RiskResponse">'[1]Lists and Calcs (Hidden)'!$B$28:$B$34</definedName>
    <definedName name="RiskSource">'[1]Lists and Calcs (Hidden)'!$B$14:$B$25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D160" i="1" l="1"/>
  <c r="Y160" i="1"/>
  <c r="S160" i="1"/>
  <c r="R160" i="1"/>
  <c r="Q160" i="1"/>
  <c r="P160" i="1"/>
  <c r="I160" i="1"/>
  <c r="C160" i="1"/>
  <c r="D160" i="1" s="1"/>
  <c r="AD159" i="1"/>
  <c r="Y159" i="1"/>
  <c r="S159" i="1"/>
  <c r="R159" i="1"/>
  <c r="Q159" i="1"/>
  <c r="P159" i="1"/>
  <c r="I159" i="1"/>
  <c r="C159" i="1"/>
  <c r="D159" i="1" s="1"/>
  <c r="AD158" i="1"/>
  <c r="Y158" i="1"/>
  <c r="S158" i="1"/>
  <c r="R158" i="1"/>
  <c r="Q158" i="1"/>
  <c r="P158" i="1"/>
  <c r="I158" i="1"/>
  <c r="C158" i="1"/>
  <c r="D158" i="1" s="1"/>
  <c r="AD157" i="1"/>
  <c r="Y157" i="1"/>
  <c r="S157" i="1"/>
  <c r="R157" i="1"/>
  <c r="Q157" i="1"/>
  <c r="P157" i="1"/>
  <c r="I157" i="1"/>
  <c r="C157" i="1"/>
  <c r="D157" i="1" s="1"/>
  <c r="AD156" i="1"/>
  <c r="Y156" i="1"/>
  <c r="S156" i="1"/>
  <c r="R156" i="1"/>
  <c r="Q156" i="1"/>
  <c r="P156" i="1"/>
  <c r="I156" i="1"/>
  <c r="C156" i="1"/>
  <c r="D156" i="1" s="1"/>
  <c r="AD155" i="1"/>
  <c r="Y155" i="1"/>
  <c r="S155" i="1"/>
  <c r="R155" i="1"/>
  <c r="Q155" i="1"/>
  <c r="P155" i="1"/>
  <c r="I155" i="1"/>
  <c r="C155" i="1"/>
  <c r="D155" i="1" s="1"/>
  <c r="AD154" i="1"/>
  <c r="Y154" i="1"/>
  <c r="S154" i="1"/>
  <c r="R154" i="1"/>
  <c r="Q154" i="1"/>
  <c r="P154" i="1"/>
  <c r="I154" i="1"/>
  <c r="C154" i="1"/>
  <c r="D154" i="1" s="1"/>
  <c r="AD153" i="1"/>
  <c r="Y153" i="1"/>
  <c r="S153" i="1"/>
  <c r="R153" i="1"/>
  <c r="Q153" i="1"/>
  <c r="P153" i="1"/>
  <c r="I153" i="1"/>
  <c r="C153" i="1"/>
  <c r="D153" i="1" s="1"/>
  <c r="AD152" i="1"/>
  <c r="Y152" i="1"/>
  <c r="S152" i="1"/>
  <c r="R152" i="1"/>
  <c r="Q152" i="1"/>
  <c r="P152" i="1"/>
  <c r="I152" i="1"/>
  <c r="C152" i="1"/>
  <c r="D152" i="1" s="1"/>
  <c r="AD151" i="1"/>
  <c r="Y151" i="1"/>
  <c r="S151" i="1"/>
  <c r="R151" i="1"/>
  <c r="Q151" i="1"/>
  <c r="P151" i="1"/>
  <c r="I151" i="1"/>
  <c r="D151" i="1"/>
  <c r="C151" i="1"/>
  <c r="AD150" i="1"/>
  <c r="Y150" i="1"/>
  <c r="S150" i="1"/>
  <c r="R150" i="1"/>
  <c r="Q150" i="1"/>
  <c r="P150" i="1"/>
  <c r="I150" i="1"/>
  <c r="C150" i="1"/>
  <c r="D150" i="1" s="1"/>
  <c r="AD149" i="1"/>
  <c r="Y149" i="1"/>
  <c r="S149" i="1"/>
  <c r="R149" i="1"/>
  <c r="Q149" i="1"/>
  <c r="P149" i="1"/>
  <c r="I149" i="1"/>
  <c r="C149" i="1"/>
  <c r="D149" i="1" s="1"/>
  <c r="AD148" i="1"/>
  <c r="Y148" i="1"/>
  <c r="S148" i="1"/>
  <c r="R148" i="1"/>
  <c r="Q148" i="1"/>
  <c r="P148" i="1"/>
  <c r="I148" i="1"/>
  <c r="C148" i="1"/>
  <c r="D148" i="1" s="1"/>
  <c r="AD147" i="1"/>
  <c r="Y147" i="1"/>
  <c r="S147" i="1"/>
  <c r="R147" i="1"/>
  <c r="Q147" i="1"/>
  <c r="P147" i="1"/>
  <c r="I147" i="1"/>
  <c r="D147" i="1"/>
  <c r="C147" i="1"/>
  <c r="AD146" i="1"/>
  <c r="Y146" i="1"/>
  <c r="S146" i="1"/>
  <c r="R146" i="1"/>
  <c r="Q146" i="1"/>
  <c r="P146" i="1"/>
  <c r="I146" i="1"/>
  <c r="D146" i="1"/>
  <c r="C146" i="1"/>
  <c r="AD145" i="1"/>
  <c r="Y145" i="1"/>
  <c r="S145" i="1"/>
  <c r="R145" i="1"/>
  <c r="Q145" i="1"/>
  <c r="P145" i="1"/>
  <c r="I145" i="1"/>
  <c r="C145" i="1"/>
  <c r="D145" i="1" s="1"/>
  <c r="AD144" i="1"/>
  <c r="Y144" i="1"/>
  <c r="S144" i="1"/>
  <c r="R144" i="1"/>
  <c r="Q144" i="1"/>
  <c r="P144" i="1"/>
  <c r="I144" i="1"/>
  <c r="C144" i="1"/>
  <c r="D144" i="1" s="1"/>
  <c r="AD143" i="1"/>
  <c r="Y143" i="1"/>
  <c r="S143" i="1"/>
  <c r="R143" i="1"/>
  <c r="Q143" i="1"/>
  <c r="P143" i="1"/>
  <c r="I143" i="1"/>
  <c r="C143" i="1"/>
  <c r="D143" i="1" s="1"/>
  <c r="AD142" i="1"/>
  <c r="Y142" i="1"/>
  <c r="S142" i="1"/>
  <c r="R142" i="1"/>
  <c r="Q142" i="1"/>
  <c r="P142" i="1"/>
  <c r="I142" i="1"/>
  <c r="D142" i="1"/>
  <c r="C142" i="1"/>
  <c r="AD141" i="1"/>
  <c r="Y141" i="1"/>
  <c r="S141" i="1"/>
  <c r="R141" i="1"/>
  <c r="Q141" i="1"/>
  <c r="P141" i="1"/>
  <c r="I141" i="1"/>
  <c r="D141" i="1"/>
  <c r="C141" i="1"/>
  <c r="AD140" i="1"/>
  <c r="Y140" i="1"/>
  <c r="S140" i="1"/>
  <c r="R140" i="1"/>
  <c r="Q140" i="1"/>
  <c r="P140" i="1"/>
  <c r="I140" i="1"/>
  <c r="C140" i="1"/>
  <c r="D140" i="1" s="1"/>
  <c r="AD139" i="1"/>
  <c r="Y139" i="1"/>
  <c r="S139" i="1"/>
  <c r="R139" i="1"/>
  <c r="Q139" i="1"/>
  <c r="P139" i="1"/>
  <c r="I139" i="1"/>
  <c r="D139" i="1"/>
  <c r="C139" i="1"/>
  <c r="AD138" i="1"/>
  <c r="Y138" i="1"/>
  <c r="S138" i="1"/>
  <c r="R138" i="1"/>
  <c r="Q138" i="1"/>
  <c r="P138" i="1"/>
  <c r="I138" i="1"/>
  <c r="C138" i="1"/>
  <c r="D138" i="1" s="1"/>
  <c r="AD137" i="1"/>
  <c r="Y137" i="1"/>
  <c r="S137" i="1"/>
  <c r="R137" i="1"/>
  <c r="Q137" i="1"/>
  <c r="P137" i="1"/>
  <c r="I137" i="1"/>
  <c r="D137" i="1"/>
  <c r="C137" i="1"/>
  <c r="AD136" i="1"/>
  <c r="Y136" i="1"/>
  <c r="S136" i="1"/>
  <c r="R136" i="1"/>
  <c r="Q136" i="1"/>
  <c r="P136" i="1"/>
  <c r="I136" i="1"/>
  <c r="C136" i="1"/>
  <c r="D136" i="1" s="1"/>
  <c r="AD135" i="1"/>
  <c r="Y135" i="1"/>
  <c r="S135" i="1"/>
  <c r="R135" i="1"/>
  <c r="Q135" i="1"/>
  <c r="P135" i="1"/>
  <c r="I135" i="1"/>
  <c r="D135" i="1"/>
  <c r="C135" i="1"/>
  <c r="AD134" i="1"/>
  <c r="Y134" i="1"/>
  <c r="S134" i="1"/>
  <c r="R134" i="1"/>
  <c r="Q134" i="1"/>
  <c r="P134" i="1"/>
  <c r="I134" i="1"/>
  <c r="C134" i="1"/>
  <c r="D134" i="1" s="1"/>
  <c r="AD133" i="1"/>
  <c r="Y133" i="1"/>
  <c r="S133" i="1"/>
  <c r="R133" i="1"/>
  <c r="Q133" i="1"/>
  <c r="P133" i="1"/>
  <c r="I133" i="1"/>
  <c r="D133" i="1"/>
  <c r="C133" i="1"/>
  <c r="AD132" i="1"/>
  <c r="Y132" i="1"/>
  <c r="S132" i="1"/>
  <c r="R132" i="1"/>
  <c r="Q132" i="1"/>
  <c r="P132" i="1"/>
  <c r="I132" i="1"/>
  <c r="D132" i="1"/>
  <c r="C132" i="1"/>
  <c r="AD131" i="1"/>
  <c r="Y131" i="1"/>
  <c r="S131" i="1"/>
  <c r="R131" i="1"/>
  <c r="Q131" i="1"/>
  <c r="P131" i="1"/>
  <c r="I131" i="1"/>
  <c r="D131" i="1"/>
  <c r="C131" i="1"/>
  <c r="AD130" i="1"/>
  <c r="Y130" i="1"/>
  <c r="S130" i="1"/>
  <c r="R130" i="1"/>
  <c r="Q130" i="1"/>
  <c r="P130" i="1"/>
  <c r="I130" i="1"/>
  <c r="C130" i="1"/>
  <c r="D130" i="1" s="1"/>
  <c r="AD129" i="1"/>
  <c r="Y129" i="1"/>
  <c r="S129" i="1"/>
  <c r="R129" i="1"/>
  <c r="Q129" i="1"/>
  <c r="P129" i="1"/>
  <c r="I129" i="1"/>
  <c r="C129" i="1"/>
  <c r="D129" i="1" s="1"/>
  <c r="AD128" i="1"/>
  <c r="Y128" i="1"/>
  <c r="S128" i="1"/>
  <c r="R128" i="1"/>
  <c r="Q128" i="1"/>
  <c r="P128" i="1"/>
  <c r="I128" i="1"/>
  <c r="C128" i="1"/>
  <c r="D128" i="1" s="1"/>
  <c r="AD127" i="1"/>
  <c r="Y127" i="1"/>
  <c r="S127" i="1"/>
  <c r="R127" i="1"/>
  <c r="Q127" i="1"/>
  <c r="P127" i="1"/>
  <c r="I127" i="1"/>
  <c r="D127" i="1"/>
  <c r="C127" i="1"/>
  <c r="AD126" i="1"/>
  <c r="Y126" i="1"/>
  <c r="S126" i="1"/>
  <c r="R126" i="1"/>
  <c r="Q126" i="1"/>
  <c r="P126" i="1"/>
  <c r="I126" i="1"/>
  <c r="C126" i="1"/>
  <c r="D126" i="1" s="1"/>
  <c r="AD125" i="1"/>
  <c r="Y125" i="1"/>
  <c r="S125" i="1"/>
  <c r="R125" i="1"/>
  <c r="Q125" i="1"/>
  <c r="P125" i="1"/>
  <c r="I125" i="1"/>
  <c r="D125" i="1"/>
  <c r="C125" i="1"/>
  <c r="AD124" i="1"/>
  <c r="Y124" i="1"/>
  <c r="S124" i="1"/>
  <c r="R124" i="1"/>
  <c r="Q124" i="1"/>
  <c r="P124" i="1"/>
  <c r="I124" i="1"/>
  <c r="C124" i="1"/>
  <c r="D124" i="1" s="1"/>
  <c r="AD123" i="1"/>
  <c r="Y123" i="1"/>
  <c r="S123" i="1"/>
  <c r="R123" i="1"/>
  <c r="Q123" i="1"/>
  <c r="P123" i="1"/>
  <c r="I123" i="1"/>
  <c r="D123" i="1"/>
  <c r="C123" i="1"/>
  <c r="AD122" i="1"/>
  <c r="Y122" i="1"/>
  <c r="S122" i="1"/>
  <c r="R122" i="1"/>
  <c r="Q122" i="1"/>
  <c r="P122" i="1"/>
  <c r="I122" i="1"/>
  <c r="C122" i="1"/>
  <c r="D122" i="1" s="1"/>
  <c r="AD121" i="1"/>
  <c r="Y121" i="1"/>
  <c r="S121" i="1"/>
  <c r="R121" i="1"/>
  <c r="Q121" i="1"/>
  <c r="P121" i="1"/>
  <c r="I121" i="1"/>
  <c r="D121" i="1"/>
  <c r="C121" i="1"/>
  <c r="AD120" i="1"/>
  <c r="Y120" i="1"/>
  <c r="S120" i="1"/>
  <c r="R120" i="1"/>
  <c r="Q120" i="1"/>
  <c r="P120" i="1"/>
  <c r="I120" i="1"/>
  <c r="C120" i="1"/>
  <c r="D120" i="1" s="1"/>
  <c r="AD119" i="1"/>
  <c r="Y119" i="1"/>
  <c r="S119" i="1"/>
  <c r="R119" i="1"/>
  <c r="Q119" i="1"/>
  <c r="P119" i="1"/>
  <c r="I119" i="1"/>
  <c r="D119" i="1"/>
  <c r="C119" i="1"/>
  <c r="AD118" i="1"/>
  <c r="Y118" i="1"/>
  <c r="S118" i="1"/>
  <c r="R118" i="1"/>
  <c r="Q118" i="1"/>
  <c r="P118" i="1"/>
  <c r="I118" i="1"/>
  <c r="D118" i="1"/>
  <c r="C118" i="1"/>
  <c r="AD117" i="1"/>
  <c r="Y117" i="1"/>
  <c r="S117" i="1"/>
  <c r="R117" i="1"/>
  <c r="Q117" i="1"/>
  <c r="P117" i="1"/>
  <c r="I117" i="1"/>
  <c r="C117" i="1"/>
  <c r="D117" i="1" s="1"/>
  <c r="AD116" i="1"/>
  <c r="Y116" i="1"/>
  <c r="S116" i="1"/>
  <c r="R116" i="1"/>
  <c r="Q116" i="1"/>
  <c r="P116" i="1"/>
  <c r="I116" i="1"/>
  <c r="C116" i="1"/>
  <c r="D116" i="1" s="1"/>
  <c r="AD115" i="1"/>
  <c r="Y115" i="1"/>
  <c r="S115" i="1"/>
  <c r="R115" i="1"/>
  <c r="Q115" i="1"/>
  <c r="P115" i="1"/>
  <c r="I115" i="1"/>
  <c r="C115" i="1"/>
  <c r="D115" i="1" s="1"/>
  <c r="AD114" i="1"/>
  <c r="Y114" i="1"/>
  <c r="S114" i="1"/>
  <c r="R114" i="1"/>
  <c r="Q114" i="1"/>
  <c r="P114" i="1"/>
  <c r="I114" i="1"/>
  <c r="D114" i="1"/>
  <c r="C114" i="1"/>
  <c r="AD113" i="1"/>
  <c r="Y113" i="1"/>
  <c r="S113" i="1"/>
  <c r="R113" i="1"/>
  <c r="Q113" i="1"/>
  <c r="P113" i="1"/>
  <c r="I113" i="1"/>
  <c r="D113" i="1"/>
  <c r="C113" i="1"/>
  <c r="AD112" i="1"/>
  <c r="Y112" i="1"/>
  <c r="S112" i="1"/>
  <c r="R112" i="1"/>
  <c r="Q112" i="1"/>
  <c r="P112" i="1"/>
  <c r="I112" i="1"/>
  <c r="D112" i="1"/>
  <c r="C112" i="1"/>
  <c r="AD111" i="1"/>
  <c r="Y111" i="1"/>
  <c r="S111" i="1"/>
  <c r="R111" i="1"/>
  <c r="Q111" i="1"/>
  <c r="P111" i="1"/>
  <c r="I111" i="1"/>
  <c r="C111" i="1"/>
  <c r="D111" i="1" s="1"/>
  <c r="AD110" i="1"/>
  <c r="Y110" i="1"/>
  <c r="S110" i="1"/>
  <c r="R110" i="1"/>
  <c r="Q110" i="1"/>
  <c r="P110" i="1"/>
  <c r="I110" i="1"/>
  <c r="C110" i="1"/>
  <c r="D110" i="1" s="1"/>
  <c r="AD109" i="1"/>
  <c r="Y109" i="1"/>
  <c r="S109" i="1"/>
  <c r="R109" i="1"/>
  <c r="Q109" i="1"/>
  <c r="P109" i="1"/>
  <c r="I109" i="1"/>
  <c r="C109" i="1"/>
  <c r="D109" i="1" s="1"/>
  <c r="AD108" i="1"/>
  <c r="Y108" i="1"/>
  <c r="S108" i="1"/>
  <c r="R108" i="1"/>
  <c r="Q108" i="1"/>
  <c r="P108" i="1"/>
  <c r="I108" i="1"/>
  <c r="D108" i="1"/>
  <c r="C108" i="1"/>
  <c r="AD107" i="1"/>
  <c r="Y107" i="1"/>
  <c r="S107" i="1"/>
  <c r="R107" i="1"/>
  <c r="Q107" i="1"/>
  <c r="P107" i="1"/>
  <c r="I107" i="1"/>
  <c r="D107" i="1"/>
  <c r="C107" i="1"/>
  <c r="AD106" i="1"/>
  <c r="Y106" i="1"/>
  <c r="S106" i="1"/>
  <c r="R106" i="1"/>
  <c r="Q106" i="1"/>
  <c r="P106" i="1"/>
  <c r="I106" i="1"/>
  <c r="C106" i="1"/>
  <c r="D106" i="1" s="1"/>
  <c r="AD105" i="1"/>
  <c r="Y105" i="1"/>
  <c r="S105" i="1"/>
  <c r="R105" i="1"/>
  <c r="Q105" i="1"/>
  <c r="P105" i="1"/>
  <c r="I105" i="1"/>
  <c r="D105" i="1"/>
  <c r="C105" i="1"/>
  <c r="AD104" i="1"/>
  <c r="Y104" i="1"/>
  <c r="S104" i="1"/>
  <c r="R104" i="1"/>
  <c r="Q104" i="1"/>
  <c r="P104" i="1"/>
  <c r="I104" i="1"/>
  <c r="D104" i="1"/>
  <c r="C104" i="1"/>
  <c r="AD103" i="1"/>
  <c r="Y103" i="1"/>
  <c r="S103" i="1"/>
  <c r="R103" i="1"/>
  <c r="Q103" i="1"/>
  <c r="P103" i="1"/>
  <c r="I103" i="1"/>
  <c r="D103" i="1"/>
  <c r="C103" i="1"/>
  <c r="AD102" i="1"/>
  <c r="Y102" i="1"/>
  <c r="S102" i="1"/>
  <c r="R102" i="1"/>
  <c r="Q102" i="1"/>
  <c r="P102" i="1"/>
  <c r="I102" i="1"/>
  <c r="C102" i="1"/>
  <c r="D102" i="1" s="1"/>
  <c r="AD101" i="1"/>
  <c r="Y101" i="1"/>
  <c r="S101" i="1"/>
  <c r="R101" i="1"/>
  <c r="Q101" i="1"/>
  <c r="P101" i="1"/>
  <c r="I101" i="1"/>
  <c r="C101" i="1"/>
  <c r="D101" i="1" s="1"/>
  <c r="AD100" i="1"/>
  <c r="Y100" i="1"/>
  <c r="S100" i="1"/>
  <c r="R100" i="1"/>
  <c r="Q100" i="1"/>
  <c r="P100" i="1"/>
  <c r="I100" i="1"/>
  <c r="C100" i="1"/>
  <c r="D100" i="1" s="1"/>
  <c r="AD99" i="1"/>
  <c r="Y99" i="1"/>
  <c r="S99" i="1"/>
  <c r="R99" i="1"/>
  <c r="Q99" i="1"/>
  <c r="P99" i="1"/>
  <c r="I99" i="1"/>
  <c r="D99" i="1"/>
  <c r="C99" i="1"/>
  <c r="AD98" i="1"/>
  <c r="Y98" i="1"/>
  <c r="S98" i="1"/>
  <c r="R98" i="1"/>
  <c r="Q98" i="1"/>
  <c r="P98" i="1"/>
  <c r="I98" i="1"/>
  <c r="D98" i="1"/>
  <c r="C98" i="1"/>
  <c r="AD97" i="1"/>
  <c r="Y97" i="1"/>
  <c r="S97" i="1"/>
  <c r="R97" i="1"/>
  <c r="Q97" i="1"/>
  <c r="P97" i="1"/>
  <c r="I97" i="1"/>
  <c r="C97" i="1"/>
  <c r="D97" i="1" s="1"/>
  <c r="AD96" i="1"/>
  <c r="Y96" i="1"/>
  <c r="S96" i="1"/>
  <c r="R96" i="1"/>
  <c r="Q96" i="1"/>
  <c r="P96" i="1"/>
  <c r="I96" i="1"/>
  <c r="C96" i="1"/>
  <c r="D96" i="1" s="1"/>
  <c r="AD95" i="1"/>
  <c r="Y95" i="1"/>
  <c r="S95" i="1"/>
  <c r="R95" i="1"/>
  <c r="Q95" i="1"/>
  <c r="P95" i="1"/>
  <c r="I95" i="1"/>
  <c r="D95" i="1"/>
  <c r="C95" i="1"/>
  <c r="AD94" i="1"/>
  <c r="Y94" i="1"/>
  <c r="S94" i="1"/>
  <c r="R94" i="1"/>
  <c r="Q94" i="1"/>
  <c r="P94" i="1"/>
  <c r="I94" i="1"/>
  <c r="D94" i="1"/>
  <c r="C94" i="1"/>
  <c r="AD93" i="1"/>
  <c r="Y93" i="1"/>
  <c r="S93" i="1"/>
  <c r="R93" i="1"/>
  <c r="Q93" i="1"/>
  <c r="P93" i="1"/>
  <c r="I93" i="1"/>
  <c r="C93" i="1"/>
  <c r="D93" i="1" s="1"/>
  <c r="AD92" i="1"/>
  <c r="Y92" i="1"/>
  <c r="S92" i="1"/>
  <c r="R92" i="1"/>
  <c r="Q92" i="1"/>
  <c r="P92" i="1"/>
  <c r="I92" i="1"/>
  <c r="C92" i="1"/>
  <c r="D92" i="1" s="1"/>
  <c r="AD91" i="1"/>
  <c r="Y91" i="1"/>
  <c r="S91" i="1"/>
  <c r="R91" i="1"/>
  <c r="Q91" i="1"/>
  <c r="P91" i="1"/>
  <c r="I91" i="1"/>
  <c r="D91" i="1"/>
  <c r="C91" i="1"/>
  <c r="AD90" i="1"/>
  <c r="Y90" i="1"/>
  <c r="S90" i="1"/>
  <c r="R90" i="1"/>
  <c r="Q90" i="1"/>
  <c r="P90" i="1"/>
  <c r="I90" i="1"/>
  <c r="D90" i="1"/>
  <c r="C90" i="1"/>
  <c r="AD89" i="1"/>
  <c r="Y89" i="1"/>
  <c r="S89" i="1"/>
  <c r="R89" i="1"/>
  <c r="Q89" i="1"/>
  <c r="P89" i="1"/>
  <c r="I89" i="1"/>
  <c r="D89" i="1"/>
  <c r="C89" i="1"/>
  <c r="AD88" i="1"/>
  <c r="Y88" i="1"/>
  <c r="S88" i="1"/>
  <c r="R88" i="1"/>
  <c r="Q88" i="1"/>
  <c r="P88" i="1"/>
  <c r="I88" i="1"/>
  <c r="C88" i="1"/>
  <c r="D88" i="1" s="1"/>
  <c r="AD87" i="1"/>
  <c r="Y87" i="1"/>
  <c r="S87" i="1"/>
  <c r="R87" i="1"/>
  <c r="Q87" i="1"/>
  <c r="P87" i="1"/>
  <c r="I87" i="1"/>
  <c r="C87" i="1"/>
  <c r="D87" i="1" s="1"/>
  <c r="AD86" i="1"/>
  <c r="Y86" i="1"/>
  <c r="S86" i="1"/>
  <c r="R86" i="1"/>
  <c r="Q86" i="1"/>
  <c r="P86" i="1"/>
  <c r="I86" i="1"/>
  <c r="C86" i="1"/>
  <c r="D86" i="1" s="1"/>
  <c r="AD85" i="1"/>
  <c r="Y85" i="1"/>
  <c r="S85" i="1"/>
  <c r="R85" i="1"/>
  <c r="Q85" i="1"/>
  <c r="P85" i="1"/>
  <c r="I85" i="1"/>
  <c r="D85" i="1"/>
  <c r="C85" i="1"/>
  <c r="AD84" i="1"/>
  <c r="Y84" i="1"/>
  <c r="S84" i="1"/>
  <c r="R84" i="1"/>
  <c r="Q84" i="1"/>
  <c r="P84" i="1"/>
  <c r="I84" i="1"/>
  <c r="D84" i="1"/>
  <c r="C84" i="1"/>
  <c r="AD83" i="1"/>
  <c r="Y83" i="1"/>
  <c r="S83" i="1"/>
  <c r="R83" i="1"/>
  <c r="Q83" i="1"/>
  <c r="P83" i="1"/>
  <c r="I83" i="1"/>
  <c r="C83" i="1"/>
  <c r="D83" i="1" s="1"/>
  <c r="AD82" i="1"/>
  <c r="Y82" i="1"/>
  <c r="S82" i="1"/>
  <c r="R82" i="1"/>
  <c r="Q82" i="1"/>
  <c r="P82" i="1"/>
  <c r="I82" i="1"/>
  <c r="C82" i="1"/>
  <c r="D82" i="1" s="1"/>
  <c r="AD81" i="1"/>
  <c r="Y81" i="1"/>
  <c r="S81" i="1"/>
  <c r="R81" i="1"/>
  <c r="Q81" i="1"/>
  <c r="P81" i="1"/>
  <c r="I81" i="1"/>
  <c r="D81" i="1"/>
  <c r="C81" i="1"/>
  <c r="AD80" i="1"/>
  <c r="Y80" i="1"/>
  <c r="S80" i="1"/>
  <c r="R80" i="1"/>
  <c r="Q80" i="1"/>
  <c r="P80" i="1"/>
  <c r="I80" i="1"/>
  <c r="D80" i="1"/>
  <c r="C80" i="1"/>
  <c r="AD79" i="1"/>
  <c r="Y79" i="1"/>
  <c r="S79" i="1"/>
  <c r="R79" i="1"/>
  <c r="Q79" i="1"/>
  <c r="P79" i="1"/>
  <c r="I79" i="1"/>
  <c r="C79" i="1"/>
  <c r="D79" i="1" s="1"/>
  <c r="AD78" i="1"/>
  <c r="Y78" i="1"/>
  <c r="S78" i="1"/>
  <c r="R78" i="1"/>
  <c r="Q78" i="1"/>
  <c r="P78" i="1"/>
  <c r="I78" i="1"/>
  <c r="C78" i="1"/>
  <c r="D78" i="1" s="1"/>
  <c r="AD77" i="1"/>
  <c r="Y77" i="1"/>
  <c r="S77" i="1"/>
  <c r="R77" i="1"/>
  <c r="Q77" i="1"/>
  <c r="P77" i="1"/>
  <c r="I77" i="1"/>
  <c r="C77" i="1"/>
  <c r="D77" i="1" s="1"/>
  <c r="AD76" i="1"/>
  <c r="Y76" i="1"/>
  <c r="S76" i="1"/>
  <c r="R76" i="1"/>
  <c r="Q76" i="1"/>
  <c r="P76" i="1"/>
  <c r="I76" i="1"/>
  <c r="C76" i="1"/>
  <c r="D76" i="1" s="1"/>
  <c r="AD75" i="1"/>
  <c r="Y75" i="1"/>
  <c r="S75" i="1"/>
  <c r="R75" i="1"/>
  <c r="Q75" i="1"/>
  <c r="P75" i="1"/>
  <c r="I75" i="1"/>
  <c r="C75" i="1"/>
  <c r="D75" i="1" s="1"/>
  <c r="AD74" i="1"/>
  <c r="Y74" i="1"/>
  <c r="S74" i="1"/>
  <c r="R74" i="1"/>
  <c r="Q74" i="1"/>
  <c r="P74" i="1"/>
  <c r="I74" i="1"/>
  <c r="C74" i="1"/>
  <c r="D74" i="1" s="1"/>
  <c r="AD73" i="1"/>
  <c r="Y73" i="1"/>
  <c r="S73" i="1"/>
  <c r="R73" i="1"/>
  <c r="Q73" i="1"/>
  <c r="P73" i="1"/>
  <c r="I73" i="1"/>
  <c r="C73" i="1"/>
  <c r="D73" i="1" s="1"/>
  <c r="AD72" i="1"/>
  <c r="Y72" i="1"/>
  <c r="S72" i="1"/>
  <c r="R72" i="1"/>
  <c r="Q72" i="1"/>
  <c r="P72" i="1"/>
  <c r="I72" i="1"/>
  <c r="C72" i="1"/>
  <c r="D72" i="1" s="1"/>
  <c r="AD71" i="1"/>
  <c r="Y71" i="1"/>
  <c r="S71" i="1"/>
  <c r="R71" i="1"/>
  <c r="Q71" i="1"/>
  <c r="P71" i="1"/>
  <c r="I71" i="1"/>
  <c r="C71" i="1"/>
  <c r="D71" i="1" s="1"/>
  <c r="AD70" i="1"/>
  <c r="Y70" i="1"/>
  <c r="S70" i="1"/>
  <c r="R70" i="1"/>
  <c r="Q70" i="1"/>
  <c r="P70" i="1"/>
  <c r="I70" i="1"/>
  <c r="C70" i="1"/>
  <c r="D70" i="1" s="1"/>
  <c r="AD69" i="1"/>
  <c r="Y69" i="1"/>
  <c r="S69" i="1"/>
  <c r="R69" i="1"/>
  <c r="Q69" i="1"/>
  <c r="P69" i="1"/>
  <c r="I69" i="1"/>
  <c r="D69" i="1"/>
  <c r="C69" i="1"/>
  <c r="AD68" i="1"/>
  <c r="Y68" i="1"/>
  <c r="S68" i="1"/>
  <c r="R68" i="1"/>
  <c r="Q68" i="1"/>
  <c r="P68" i="1"/>
  <c r="I68" i="1"/>
  <c r="C68" i="1"/>
  <c r="D68" i="1" s="1"/>
  <c r="AD67" i="1"/>
  <c r="Y67" i="1"/>
  <c r="S67" i="1"/>
  <c r="R67" i="1"/>
  <c r="Q67" i="1"/>
  <c r="P67" i="1"/>
  <c r="I67" i="1"/>
  <c r="C67" i="1"/>
  <c r="D67" i="1" s="1"/>
  <c r="AD66" i="1"/>
  <c r="Y66" i="1"/>
  <c r="S66" i="1"/>
  <c r="R66" i="1"/>
  <c r="Q66" i="1"/>
  <c r="P66" i="1"/>
  <c r="I66" i="1"/>
  <c r="C66" i="1"/>
  <c r="D66" i="1" s="1"/>
  <c r="AD65" i="1"/>
  <c r="Y65" i="1"/>
  <c r="S65" i="1"/>
  <c r="R65" i="1"/>
  <c r="Q65" i="1"/>
  <c r="P65" i="1"/>
  <c r="I65" i="1"/>
  <c r="D65" i="1"/>
  <c r="C65" i="1"/>
  <c r="AD64" i="1"/>
  <c r="Y64" i="1"/>
  <c r="S64" i="1"/>
  <c r="R64" i="1"/>
  <c r="Q64" i="1"/>
  <c r="P64" i="1"/>
  <c r="I64" i="1"/>
  <c r="D64" i="1"/>
  <c r="C64" i="1"/>
  <c r="AD63" i="1"/>
  <c r="Y63" i="1"/>
  <c r="S63" i="1"/>
  <c r="R63" i="1"/>
  <c r="Q63" i="1"/>
  <c r="P63" i="1"/>
  <c r="I63" i="1"/>
  <c r="D63" i="1"/>
  <c r="C63" i="1"/>
  <c r="AD62" i="1"/>
  <c r="Y62" i="1"/>
  <c r="S62" i="1"/>
  <c r="R62" i="1"/>
  <c r="Q62" i="1"/>
  <c r="P62" i="1"/>
  <c r="I62" i="1"/>
  <c r="C62" i="1"/>
  <c r="D62" i="1" s="1"/>
  <c r="AD61" i="1"/>
  <c r="Y61" i="1"/>
  <c r="S61" i="1"/>
  <c r="R61" i="1"/>
  <c r="Q61" i="1"/>
  <c r="P61" i="1"/>
  <c r="I61" i="1"/>
  <c r="C61" i="1"/>
  <c r="D61" i="1" s="1"/>
  <c r="AD60" i="1"/>
  <c r="Y60" i="1"/>
  <c r="S60" i="1"/>
  <c r="R60" i="1"/>
  <c r="Q60" i="1"/>
  <c r="P60" i="1"/>
  <c r="I60" i="1"/>
  <c r="C60" i="1"/>
  <c r="D60" i="1" s="1"/>
  <c r="AD59" i="1"/>
  <c r="Y59" i="1"/>
  <c r="S59" i="1"/>
  <c r="R59" i="1"/>
  <c r="Q59" i="1"/>
  <c r="P59" i="1"/>
  <c r="I59" i="1"/>
  <c r="C59" i="1"/>
  <c r="D59" i="1" s="1"/>
  <c r="AD58" i="1"/>
  <c r="Y58" i="1"/>
  <c r="S58" i="1"/>
  <c r="R58" i="1"/>
  <c r="Q58" i="1"/>
  <c r="P58" i="1"/>
  <c r="I58" i="1"/>
  <c r="C58" i="1"/>
  <c r="D58" i="1" s="1"/>
  <c r="AD57" i="1"/>
  <c r="Y57" i="1"/>
  <c r="S57" i="1"/>
  <c r="R57" i="1"/>
  <c r="Q57" i="1"/>
  <c r="P57" i="1"/>
  <c r="I57" i="1"/>
  <c r="C57" i="1"/>
  <c r="D57" i="1" s="1"/>
  <c r="AD56" i="1"/>
  <c r="Y56" i="1"/>
  <c r="S56" i="1"/>
  <c r="R56" i="1"/>
  <c r="Q56" i="1"/>
  <c r="P56" i="1"/>
  <c r="I56" i="1"/>
  <c r="C56" i="1"/>
  <c r="D56" i="1" s="1"/>
  <c r="AD55" i="1"/>
  <c r="Y55" i="1"/>
  <c r="S55" i="1"/>
  <c r="R55" i="1"/>
  <c r="Q55" i="1"/>
  <c r="P55" i="1"/>
  <c r="I55" i="1"/>
  <c r="D55" i="1"/>
  <c r="C55" i="1"/>
  <c r="AD54" i="1"/>
  <c r="Y54" i="1"/>
  <c r="S54" i="1"/>
  <c r="R54" i="1"/>
  <c r="Q54" i="1"/>
  <c r="P54" i="1"/>
  <c r="I54" i="1"/>
  <c r="C54" i="1"/>
  <c r="D54" i="1" s="1"/>
  <c r="AD53" i="1"/>
  <c r="Y53" i="1"/>
  <c r="S53" i="1"/>
  <c r="R53" i="1"/>
  <c r="Q53" i="1"/>
  <c r="P53" i="1"/>
  <c r="I53" i="1"/>
  <c r="D53" i="1"/>
  <c r="C53" i="1"/>
  <c r="AD52" i="1"/>
  <c r="Y52" i="1"/>
  <c r="S52" i="1"/>
  <c r="R52" i="1"/>
  <c r="Q52" i="1"/>
  <c r="P52" i="1"/>
  <c r="I52" i="1"/>
  <c r="C52" i="1"/>
  <c r="D52" i="1" s="1"/>
  <c r="AD51" i="1"/>
  <c r="Y51" i="1"/>
  <c r="S51" i="1"/>
  <c r="R51" i="1"/>
  <c r="Q51" i="1"/>
  <c r="P51" i="1"/>
  <c r="I51" i="1"/>
  <c r="D51" i="1"/>
  <c r="C51" i="1"/>
  <c r="AD50" i="1"/>
  <c r="Y50" i="1"/>
  <c r="S50" i="1"/>
  <c r="R50" i="1"/>
  <c r="Q50" i="1"/>
  <c r="P50" i="1"/>
  <c r="I50" i="1"/>
  <c r="C50" i="1"/>
  <c r="D50" i="1" s="1"/>
  <c r="AD49" i="1"/>
  <c r="Y49" i="1"/>
  <c r="S49" i="1"/>
  <c r="R49" i="1"/>
  <c r="Q49" i="1"/>
  <c r="P49" i="1"/>
  <c r="I49" i="1"/>
  <c r="D49" i="1"/>
  <c r="C49" i="1"/>
  <c r="AD48" i="1"/>
  <c r="Y48" i="1"/>
  <c r="S48" i="1"/>
  <c r="R48" i="1"/>
  <c r="Q48" i="1"/>
  <c r="P48" i="1"/>
  <c r="I48" i="1"/>
  <c r="C48" i="1"/>
  <c r="D48" i="1" s="1"/>
  <c r="AD47" i="1"/>
  <c r="Y47" i="1"/>
  <c r="S47" i="1"/>
  <c r="R47" i="1"/>
  <c r="Q47" i="1"/>
  <c r="P47" i="1"/>
  <c r="I47" i="1"/>
  <c r="C47" i="1"/>
  <c r="D47" i="1" s="1"/>
  <c r="AD46" i="1"/>
  <c r="Y46" i="1"/>
  <c r="S46" i="1"/>
  <c r="R46" i="1"/>
  <c r="Q46" i="1"/>
  <c r="P46" i="1"/>
  <c r="I46" i="1"/>
  <c r="C46" i="1"/>
  <c r="D46" i="1" s="1"/>
  <c r="AD45" i="1"/>
  <c r="Y45" i="1"/>
  <c r="S45" i="1"/>
  <c r="R45" i="1"/>
  <c r="Q45" i="1"/>
  <c r="P45" i="1"/>
  <c r="I45" i="1"/>
  <c r="C45" i="1"/>
  <c r="D45" i="1" s="1"/>
  <c r="AD44" i="1"/>
  <c r="Y44" i="1"/>
  <c r="S44" i="1"/>
  <c r="R44" i="1"/>
  <c r="Q44" i="1"/>
  <c r="P44" i="1"/>
  <c r="I44" i="1"/>
  <c r="D44" i="1"/>
  <c r="C44" i="1"/>
  <c r="AD43" i="1"/>
  <c r="Y43" i="1"/>
  <c r="S43" i="1"/>
  <c r="R43" i="1"/>
  <c r="Q43" i="1"/>
  <c r="P43" i="1"/>
  <c r="I43" i="1"/>
  <c r="C43" i="1"/>
  <c r="D43" i="1" s="1"/>
  <c r="AD42" i="1"/>
  <c r="Y42" i="1"/>
  <c r="S42" i="1"/>
  <c r="R42" i="1"/>
  <c r="Q42" i="1"/>
  <c r="P42" i="1"/>
  <c r="I42" i="1"/>
  <c r="C42" i="1"/>
  <c r="D42" i="1" s="1"/>
  <c r="AD41" i="1"/>
  <c r="Y41" i="1"/>
  <c r="S41" i="1"/>
  <c r="R41" i="1"/>
  <c r="Q41" i="1"/>
  <c r="P41" i="1"/>
  <c r="I41" i="1"/>
  <c r="D41" i="1"/>
  <c r="C41" i="1"/>
  <c r="AD40" i="1"/>
  <c r="Y40" i="1"/>
  <c r="S40" i="1"/>
  <c r="R40" i="1"/>
  <c r="Q40" i="1"/>
  <c r="P40" i="1"/>
  <c r="I40" i="1"/>
  <c r="C40" i="1"/>
  <c r="D40" i="1" s="1"/>
  <c r="AD39" i="1"/>
  <c r="Y39" i="1"/>
  <c r="S39" i="1"/>
  <c r="R39" i="1"/>
  <c r="Q39" i="1"/>
  <c r="P39" i="1"/>
  <c r="I39" i="1"/>
  <c r="D39" i="1"/>
  <c r="C39" i="1"/>
  <c r="AD38" i="1"/>
  <c r="Y38" i="1"/>
  <c r="S38" i="1"/>
  <c r="R38" i="1"/>
  <c r="Q38" i="1"/>
  <c r="P38" i="1"/>
  <c r="I38" i="1"/>
  <c r="C38" i="1"/>
  <c r="D38" i="1" s="1"/>
  <c r="AD37" i="1"/>
  <c r="Y37" i="1"/>
  <c r="S37" i="1"/>
  <c r="R37" i="1"/>
  <c r="Q37" i="1"/>
  <c r="P37" i="1"/>
  <c r="I37" i="1"/>
  <c r="D37" i="1"/>
  <c r="C37" i="1"/>
  <c r="AD36" i="1"/>
  <c r="Y36" i="1"/>
  <c r="S36" i="1"/>
  <c r="R36" i="1"/>
  <c r="Q36" i="1"/>
  <c r="P36" i="1"/>
  <c r="I36" i="1"/>
  <c r="C36" i="1"/>
  <c r="D36" i="1" s="1"/>
  <c r="AD35" i="1"/>
  <c r="Y35" i="1"/>
  <c r="S35" i="1"/>
  <c r="R35" i="1"/>
  <c r="Q35" i="1"/>
  <c r="P35" i="1"/>
  <c r="I35" i="1"/>
  <c r="D35" i="1"/>
  <c r="C35" i="1"/>
  <c r="AD34" i="1"/>
  <c r="Y34" i="1"/>
  <c r="S34" i="1"/>
  <c r="R34" i="1"/>
  <c r="Q34" i="1"/>
  <c r="P34" i="1"/>
  <c r="I34" i="1"/>
  <c r="C34" i="1"/>
  <c r="D34" i="1" s="1"/>
  <c r="AD33" i="1"/>
  <c r="Y33" i="1"/>
  <c r="S33" i="1"/>
  <c r="R33" i="1"/>
  <c r="Q33" i="1"/>
  <c r="P33" i="1"/>
  <c r="I33" i="1"/>
  <c r="C33" i="1"/>
  <c r="D33" i="1" s="1"/>
  <c r="AD32" i="1"/>
  <c r="Y32" i="1"/>
  <c r="S32" i="1"/>
  <c r="R32" i="1"/>
  <c r="Q32" i="1"/>
  <c r="P32" i="1"/>
  <c r="I32" i="1"/>
  <c r="C32" i="1"/>
  <c r="D32" i="1" s="1"/>
  <c r="AD31" i="1"/>
  <c r="Y31" i="1"/>
  <c r="S31" i="1"/>
  <c r="R31" i="1"/>
  <c r="Q31" i="1"/>
  <c r="P31" i="1"/>
  <c r="I31" i="1"/>
  <c r="C31" i="1"/>
  <c r="D31" i="1" s="1"/>
  <c r="AD30" i="1"/>
  <c r="Y30" i="1"/>
  <c r="S30" i="1"/>
  <c r="R30" i="1"/>
  <c r="Q30" i="1"/>
  <c r="P30" i="1"/>
  <c r="I30" i="1"/>
  <c r="D30" i="1"/>
  <c r="C30" i="1"/>
  <c r="AD29" i="1"/>
  <c r="Y29" i="1"/>
  <c r="S29" i="1"/>
  <c r="R29" i="1"/>
  <c r="Q29" i="1"/>
  <c r="P29" i="1"/>
  <c r="I29" i="1"/>
  <c r="D29" i="1"/>
  <c r="C29" i="1"/>
  <c r="AD28" i="1"/>
  <c r="Y28" i="1"/>
  <c r="S28" i="1"/>
  <c r="R28" i="1"/>
  <c r="Q28" i="1"/>
  <c r="P28" i="1"/>
  <c r="I28" i="1"/>
  <c r="C28" i="1"/>
  <c r="D28" i="1" s="1"/>
  <c r="AD27" i="1"/>
  <c r="Y27" i="1"/>
  <c r="S27" i="1"/>
  <c r="R27" i="1"/>
  <c r="Q27" i="1"/>
  <c r="P27" i="1"/>
  <c r="I27" i="1"/>
  <c r="D27" i="1"/>
  <c r="C27" i="1"/>
  <c r="AD26" i="1"/>
  <c r="Y26" i="1"/>
  <c r="S26" i="1"/>
  <c r="R26" i="1"/>
  <c r="Q26" i="1"/>
  <c r="P26" i="1"/>
  <c r="I26" i="1"/>
  <c r="C26" i="1"/>
  <c r="D26" i="1" s="1"/>
  <c r="AD25" i="1"/>
  <c r="Y25" i="1"/>
  <c r="S25" i="1"/>
  <c r="R25" i="1"/>
  <c r="Q25" i="1"/>
  <c r="P25" i="1"/>
  <c r="I25" i="1"/>
  <c r="D25" i="1"/>
  <c r="C25" i="1"/>
  <c r="AD24" i="1"/>
  <c r="Y24" i="1"/>
  <c r="S24" i="1"/>
  <c r="R24" i="1"/>
  <c r="Q24" i="1"/>
  <c r="P24" i="1"/>
  <c r="I24" i="1"/>
  <c r="C24" i="1"/>
  <c r="D24" i="1" s="1"/>
  <c r="AD23" i="1"/>
  <c r="Y23" i="1"/>
  <c r="S23" i="1"/>
  <c r="R23" i="1"/>
  <c r="Q23" i="1"/>
  <c r="P23" i="1"/>
  <c r="I23" i="1"/>
  <c r="D23" i="1"/>
  <c r="C23" i="1"/>
  <c r="AD22" i="1"/>
  <c r="Y22" i="1"/>
  <c r="S22" i="1"/>
  <c r="R22" i="1"/>
  <c r="Q22" i="1"/>
  <c r="P22" i="1"/>
  <c r="I22" i="1"/>
  <c r="C22" i="1"/>
  <c r="D22" i="1" s="1"/>
  <c r="AD21" i="1"/>
  <c r="Y21" i="1"/>
  <c r="S21" i="1"/>
  <c r="R21" i="1"/>
  <c r="Q21" i="1"/>
  <c r="P21" i="1"/>
  <c r="I21" i="1"/>
  <c r="D21" i="1"/>
  <c r="C21" i="1"/>
  <c r="AD20" i="1"/>
  <c r="Y20" i="1"/>
  <c r="S20" i="1"/>
  <c r="R20" i="1"/>
  <c r="Q20" i="1"/>
  <c r="P20" i="1"/>
  <c r="I20" i="1"/>
  <c r="C20" i="1"/>
  <c r="D20" i="1" s="1"/>
  <c r="AD19" i="1"/>
  <c r="Y19" i="1"/>
  <c r="S19" i="1"/>
  <c r="R19" i="1"/>
  <c r="Q19" i="1"/>
  <c r="P19" i="1"/>
  <c r="I19" i="1"/>
  <c r="C19" i="1"/>
  <c r="D19" i="1" s="1"/>
  <c r="AD18" i="1"/>
  <c r="Y18" i="1"/>
  <c r="S18" i="1"/>
  <c r="R18" i="1"/>
  <c r="Q18" i="1"/>
  <c r="P18" i="1"/>
  <c r="I18" i="1"/>
  <c r="C18" i="1"/>
  <c r="D18" i="1" s="1"/>
  <c r="AD17" i="1"/>
  <c r="Y17" i="1"/>
  <c r="S17" i="1"/>
  <c r="R17" i="1"/>
  <c r="Q17" i="1"/>
  <c r="P17" i="1"/>
  <c r="I17" i="1"/>
  <c r="C17" i="1"/>
  <c r="D17" i="1" s="1"/>
  <c r="AD16" i="1"/>
  <c r="Y16" i="1"/>
  <c r="S16" i="1"/>
  <c r="R16" i="1"/>
  <c r="Q16" i="1"/>
  <c r="P16" i="1"/>
  <c r="I16" i="1"/>
  <c r="D16" i="1"/>
  <c r="C16" i="1"/>
  <c r="AD15" i="1"/>
  <c r="Y15" i="1"/>
  <c r="S15" i="1"/>
  <c r="R15" i="1"/>
  <c r="Q15" i="1"/>
  <c r="P15" i="1"/>
  <c r="I15" i="1"/>
  <c r="D15" i="1"/>
  <c r="C15" i="1"/>
  <c r="AD14" i="1"/>
  <c r="Y14" i="1"/>
  <c r="R14" i="1"/>
  <c r="Q14" i="1"/>
  <c r="P14" i="1"/>
  <c r="I14" i="1"/>
  <c r="D14" i="1"/>
  <c r="C14" i="1"/>
  <c r="AD13" i="1"/>
  <c r="Y13" i="1"/>
  <c r="S13" i="1"/>
  <c r="R13" i="1"/>
  <c r="Q13" i="1"/>
  <c r="P13" i="1"/>
  <c r="I13" i="1"/>
  <c r="C13" i="1"/>
  <c r="D13" i="1" s="1"/>
  <c r="AD12" i="1"/>
  <c r="Y12" i="1"/>
  <c r="S12" i="1"/>
  <c r="R12" i="1"/>
  <c r="Q12" i="1"/>
  <c r="P12" i="1"/>
  <c r="I12" i="1"/>
  <c r="D12" i="1"/>
  <c r="C12" i="1"/>
  <c r="AD11" i="1"/>
  <c r="Y11" i="1"/>
  <c r="S11" i="1"/>
  <c r="R11" i="1"/>
  <c r="Q11" i="1"/>
  <c r="P11" i="1"/>
  <c r="I11" i="1"/>
  <c r="C11" i="1"/>
  <c r="D11" i="1" s="1"/>
  <c r="AD10" i="1"/>
  <c r="Y10" i="1"/>
  <c r="S10" i="1"/>
  <c r="R10" i="1"/>
  <c r="Q10" i="1"/>
  <c r="P10" i="1"/>
  <c r="I10" i="1"/>
  <c r="D10" i="1"/>
  <c r="C10"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B8" authorId="0" shapeId="0" xr:uid="{895DFC13-4F75-4400-9307-1105DA604E0A}">
      <text>
        <r>
          <rPr>
            <b/>
            <sz val="9"/>
            <color indexed="81"/>
            <rFont val="Tahoma"/>
            <family val="2"/>
          </rPr>
          <t>Risk Number</t>
        </r>
        <r>
          <rPr>
            <sz val="9"/>
            <color indexed="81"/>
            <rFont val="Tahoma"/>
            <family val="2"/>
          </rPr>
          <t xml:space="preserve">
An identifying value for risks.</t>
        </r>
      </text>
    </comment>
    <comment ref="C8" authorId="0" shapeId="0" xr:uid="{0A6F251D-5AFC-4342-A944-9DF70488ADBD}">
      <text>
        <r>
          <rPr>
            <b/>
            <sz val="9"/>
            <color indexed="81"/>
            <rFont val="Tahoma"/>
            <family val="2"/>
          </rPr>
          <t xml:space="preserve">Risk Events/Threats:
</t>
        </r>
        <r>
          <rPr>
            <sz val="9"/>
            <color indexed="81"/>
            <rFont val="Tahoma"/>
            <family val="2"/>
          </rPr>
          <t>A risk occurrence (actual or potential) or a change of circumstances. Can consist of more than one occurrence or something not happening. Can be referred to as an incident or accident.</t>
        </r>
      </text>
    </comment>
    <comment ref="D8" authorId="0" shapeId="0" xr:uid="{8F4FEA5A-22DD-44BF-914C-0374D3DA704A}">
      <text>
        <r>
          <rPr>
            <b/>
            <sz val="9"/>
            <color indexed="81"/>
            <rFont val="Tahoma"/>
            <family val="2"/>
          </rPr>
          <t xml:space="preserve">Date of Risk Identification:
</t>
        </r>
        <r>
          <rPr>
            <sz val="9"/>
            <color indexed="81"/>
            <rFont val="Tahoma"/>
            <family val="2"/>
          </rPr>
          <t xml:space="preserve">Date the risk was identified. 
</t>
        </r>
      </text>
    </comment>
    <comment ref="E8" authorId="0" shapeId="0" xr:uid="{BD1E6C2B-96EE-40CF-8482-EFD95D7F1535}">
      <text>
        <r>
          <rPr>
            <b/>
            <sz val="9"/>
            <color indexed="81"/>
            <rFont val="Tahoma"/>
            <family val="2"/>
          </rPr>
          <t xml:space="preserve">Enterprise Risk Category: </t>
        </r>
        <r>
          <rPr>
            <sz val="9"/>
            <color indexed="81"/>
            <rFont val="Tahoma"/>
            <family val="2"/>
          </rPr>
          <t>Alignment to the enterprise risk categories. If your organization does not currently use a categorization, consider leveraging the Info-Tech Risk Taxonomy.</t>
        </r>
      </text>
    </comment>
    <comment ref="F8" authorId="0" shapeId="0" xr:uid="{B3E531B3-CCBD-4C23-B3A5-1FD3FD687F5B}">
      <text>
        <r>
          <rPr>
            <b/>
            <sz val="9"/>
            <color indexed="81"/>
            <rFont val="Tahoma"/>
            <family val="2"/>
          </rPr>
          <t xml:space="preserve">IT Risk Category:
</t>
        </r>
        <r>
          <rPr>
            <sz val="9"/>
            <color indexed="81"/>
            <rFont val="Tahoma"/>
            <family val="2"/>
          </rPr>
          <t>Leverage the Info-Tech Risk Taxonomy to support the categorization of the risk event or threat.</t>
        </r>
      </text>
    </comment>
    <comment ref="G8" authorId="0" shapeId="0" xr:uid="{3BA36F49-9F3F-4E3B-8D5F-914F4003CA78}">
      <text>
        <r>
          <rPr>
            <b/>
            <sz val="9"/>
            <color indexed="81"/>
            <rFont val="Tahoma"/>
            <family val="2"/>
          </rPr>
          <t>Risk Owner</t>
        </r>
        <r>
          <rPr>
            <sz val="9"/>
            <color indexed="81"/>
            <rFont val="Tahoma"/>
            <family val="2"/>
          </rPr>
          <t xml:space="preserve">
The designated party responsible and accountable for ensuring that the risk is maintained in accordance with enterprise requirements. 
</t>
        </r>
      </text>
    </comment>
    <comment ref="H8" authorId="0" shapeId="0" xr:uid="{AEBCB54C-1B5C-44AD-B16C-F0A9593D8753}">
      <text>
        <r>
          <rPr>
            <b/>
            <sz val="9"/>
            <color indexed="81"/>
            <rFont val="Tahoma"/>
            <family val="2"/>
          </rPr>
          <t xml:space="preserve">Risk Source:
</t>
        </r>
        <r>
          <rPr>
            <sz val="9"/>
            <color indexed="81"/>
            <rFont val="Tahoma"/>
            <family val="2"/>
          </rPr>
          <t xml:space="preserve">The "element which alone or in combination has the potential to give rise to risk" (ISO 31000, https://www.iso.org/obp/ui/#iso:std:iso:31000:ed-2:v1:en). Usually this is considered to be the root cause of why the risk event exists. </t>
        </r>
      </text>
    </comment>
    <comment ref="I8" authorId="0" shapeId="0" xr:uid="{E4CAA5ED-B0D0-4F03-BA22-B93E5152BB7C}">
      <text>
        <r>
          <rPr>
            <b/>
            <sz val="9"/>
            <color indexed="81"/>
            <rFont val="Tahoma"/>
            <family val="2"/>
          </rPr>
          <t xml:space="preserve">Current Controls:
</t>
        </r>
        <r>
          <rPr>
            <sz val="9"/>
            <color indexed="81"/>
            <rFont val="Tahoma"/>
            <family val="2"/>
          </rPr>
          <t>"Controls" is another word for how you've responded to the risk in the past. These can be tactical (applicable to a single risk) or strategic (applicable to multiple risks).</t>
        </r>
      </text>
    </comment>
    <comment ref="J8" authorId="0" shapeId="0" xr:uid="{D3C290D8-DB57-4390-8E51-4F1211F82364}">
      <text>
        <r>
          <rPr>
            <b/>
            <sz val="9"/>
            <color indexed="81"/>
            <rFont val="Tahoma"/>
            <family val="2"/>
          </rPr>
          <t xml:space="preserve">Optional Inherent Likelihood Parameters:
</t>
        </r>
        <r>
          <rPr>
            <sz val="9"/>
            <color indexed="81"/>
            <rFont val="Tahoma"/>
            <family val="2"/>
          </rPr>
          <t>These are used to help identify if the likelihood of the risk event is anticipated to change. Likelihood is the probability of the risk event happening even once within a defined timeframe. This risk event could be trending up or down based on external factors. The velocity of this change can also increase or decrease based on external factors, e.g. a looming recession.</t>
        </r>
      </text>
    </comment>
    <comment ref="M8" authorId="0" shapeId="0" xr:uid="{09B5E312-9127-4E4A-B626-147159B52FED}">
      <text>
        <r>
          <rPr>
            <b/>
            <sz val="9"/>
            <color indexed="81"/>
            <rFont val="Tahoma"/>
            <family val="2"/>
          </rPr>
          <t xml:space="preserve">Optional Inherent Impact Parameters:
</t>
        </r>
        <r>
          <rPr>
            <sz val="9"/>
            <color indexed="81"/>
            <rFont val="Tahoma"/>
            <family val="2"/>
          </rPr>
          <t xml:space="preserve">The impact that the risk event will have on the organization if the event were to happen. Usually this impact can be related to the functional operations of the organization and its ability to continue to provide a service or solution to customers. Likewise, the Informational Impact looks at how information and data might be negatively affected if the risk event were to happen. Lastly, Recoverability Impact is looking at how quickly the organization would recover. Often, a risk event resulting in negative reputational impact can take longer to recover from than one with no reputational impact. </t>
        </r>
      </text>
    </comment>
    <comment ref="P8" authorId="0" shapeId="0" xr:uid="{A0F380D0-AA18-4275-BBCD-5B745FC516C7}">
      <text>
        <r>
          <rPr>
            <b/>
            <sz val="9"/>
            <color indexed="81"/>
            <rFont val="Tahoma"/>
            <family val="2"/>
          </rPr>
          <t xml:space="preserve">Likelihood:
</t>
        </r>
        <r>
          <rPr>
            <sz val="9"/>
            <color indexed="81"/>
            <rFont val="Tahoma"/>
            <family val="2"/>
          </rPr>
          <t>The chance of a risk occurring.  Usually measured mathematically using probability.</t>
        </r>
      </text>
    </comment>
    <comment ref="Q8" authorId="0" shapeId="0" xr:uid="{B6D12F06-0620-41F2-87AB-F2BA8FEF7FBA}">
      <text>
        <r>
          <rPr>
            <b/>
            <sz val="9"/>
            <color indexed="81"/>
            <rFont val="Tahoma"/>
            <family val="2"/>
          </rPr>
          <t xml:space="preserve">Impact:
</t>
        </r>
        <r>
          <rPr>
            <sz val="9"/>
            <color indexed="81"/>
            <rFont val="Tahoma"/>
            <family val="2"/>
          </rPr>
          <t xml:space="preserve">The negative consequences or outcomes that would result if the risk event occurred. </t>
        </r>
      </text>
    </comment>
    <comment ref="R8" authorId="0" shapeId="0" xr:uid="{710CC9CE-4370-4730-A53C-D7508680DCB7}">
      <text>
        <r>
          <rPr>
            <b/>
            <sz val="9"/>
            <color indexed="81"/>
            <rFont val="Tahoma"/>
            <family val="2"/>
          </rPr>
          <t xml:space="preserve">Risk Severity:
</t>
        </r>
        <r>
          <rPr>
            <sz val="9"/>
            <color indexed="81"/>
            <rFont val="Tahoma"/>
            <family val="2"/>
          </rPr>
          <t xml:space="preserve">A dollar value or “severity level” for comparing risks. This is done by multiplying the likelihood by the impact. 
</t>
        </r>
      </text>
    </comment>
    <comment ref="S8" authorId="0" shapeId="0" xr:uid="{0C52DCFC-0CA4-41CA-B620-DEF6DF08EF15}">
      <text>
        <r>
          <rPr>
            <b/>
            <sz val="9"/>
            <color indexed="81"/>
            <rFont val="Tahoma"/>
            <family val="2"/>
          </rPr>
          <t xml:space="preserve">Risk Response:
</t>
        </r>
        <r>
          <rPr>
            <sz val="9"/>
            <color indexed="81"/>
            <rFont val="Tahoma"/>
            <family val="2"/>
          </rPr>
          <t>How you choose to response to risk (accept, mitigate, transfer or avoid).</t>
        </r>
      </text>
    </comment>
    <comment ref="T8" authorId="0" shapeId="0" xr:uid="{A7984632-4D7F-467D-AF16-A86F72466528}">
      <text>
        <r>
          <rPr>
            <b/>
            <sz val="9"/>
            <color indexed="81"/>
            <rFont val="Tahoma"/>
            <family val="2"/>
          </rPr>
          <t xml:space="preserve">Mitigation Control:
</t>
        </r>
        <r>
          <rPr>
            <sz val="9"/>
            <color indexed="81"/>
            <rFont val="Tahoma"/>
            <family val="2"/>
          </rPr>
          <t>The risk response where an action is taken to reduce the impact or likelihood of a risk occurring, what control is used to support that reduction?</t>
        </r>
        <r>
          <rPr>
            <b/>
            <sz val="9"/>
            <color indexed="81"/>
            <rFont val="Tahoma"/>
            <family val="2"/>
          </rPr>
          <t xml:space="preserve">
</t>
        </r>
      </text>
    </comment>
    <comment ref="AD8" authorId="0" shapeId="0" xr:uid="{07733CDE-BB32-4ECD-A6A3-0215E59638BB}">
      <text>
        <r>
          <rPr>
            <b/>
            <sz val="9"/>
            <color indexed="81"/>
            <rFont val="Tahoma"/>
            <family val="2"/>
          </rPr>
          <t xml:space="preserve">Residual Risk;
</t>
        </r>
        <r>
          <rPr>
            <sz val="9"/>
            <color indexed="81"/>
            <rFont val="Tahoma"/>
            <family val="2"/>
          </rPr>
          <t xml:space="preserve">The amount of risk you have left after you have removed a source of risk, or implemented a mitigation approach (controls, monitoring, assurance)
</t>
        </r>
      </text>
    </comment>
  </commentList>
</comments>
</file>

<file path=xl/sharedStrings.xml><?xml version="1.0" encoding="utf-8"?>
<sst xmlns="http://schemas.openxmlformats.org/spreadsheetml/2006/main" count="98" uniqueCount="54">
  <si>
    <t>Risk Register Input</t>
  </si>
  <si>
    <r>
      <t xml:space="preserve">Use this tab to select which risks to copy into your organizational risk register.
</t>
    </r>
    <r>
      <rPr>
        <b/>
        <sz val="10"/>
        <rFont val="Arial"/>
        <family val="2"/>
      </rPr>
      <t xml:space="preserve">Instructions:
</t>
    </r>
    <r>
      <rPr>
        <sz val="10"/>
        <rFont val="Arial"/>
        <family val="2"/>
      </rPr>
      <t xml:space="preserve">
1. In cell </t>
    </r>
    <r>
      <rPr>
        <b/>
        <sz val="10"/>
        <rFont val="Arial"/>
        <family val="2"/>
      </rPr>
      <t>D5</t>
    </r>
    <r>
      <rPr>
        <sz val="10"/>
        <rFont val="Arial"/>
        <family val="2"/>
      </rPr>
      <t>, select which risks to include (</t>
    </r>
    <r>
      <rPr>
        <i/>
        <sz val="10"/>
        <rFont val="Arial"/>
        <family val="2"/>
      </rPr>
      <t>all risks,</t>
    </r>
    <r>
      <rPr>
        <sz val="10"/>
        <rFont val="Arial"/>
        <family val="2"/>
      </rPr>
      <t xml:space="preserve"> </t>
    </r>
    <r>
      <rPr>
        <i/>
        <sz val="10"/>
        <rFont val="Arial"/>
        <family val="2"/>
      </rPr>
      <t>risks at or above risk tolerance</t>
    </r>
    <r>
      <rPr>
        <sz val="10"/>
        <rFont val="Arial"/>
        <family val="2"/>
      </rPr>
      <t xml:space="preserve">, or </t>
    </r>
    <r>
      <rPr>
        <i/>
        <sz val="10"/>
        <rFont val="Arial"/>
        <family val="2"/>
      </rPr>
      <t>only risks above risk tolerance</t>
    </r>
    <r>
      <rPr>
        <sz val="10"/>
        <rFont val="Arial"/>
        <family val="2"/>
      </rPr>
      <t xml:space="preserve">).
2. Identify the Enterprise Risk Category in </t>
    </r>
    <r>
      <rPr>
        <b/>
        <sz val="10"/>
        <rFont val="Arial"/>
        <family val="2"/>
      </rPr>
      <t>Column E</t>
    </r>
    <r>
      <rPr>
        <sz val="10"/>
        <rFont val="Arial"/>
        <family val="2"/>
      </rPr>
      <t xml:space="preserve">, the IT Risk Category in </t>
    </r>
    <r>
      <rPr>
        <b/>
        <sz val="10"/>
        <rFont val="Arial"/>
        <family val="2"/>
      </rPr>
      <t>Column F</t>
    </r>
    <r>
      <rPr>
        <sz val="10"/>
        <rFont val="Arial"/>
        <family val="2"/>
      </rPr>
      <t xml:space="preserve">, and the Risk Source in </t>
    </r>
    <r>
      <rPr>
        <b/>
        <sz val="10"/>
        <rFont val="Arial"/>
        <family val="2"/>
      </rPr>
      <t>Column H</t>
    </r>
    <r>
      <rPr>
        <sz val="10"/>
        <rFont val="Arial"/>
        <family val="2"/>
      </rPr>
      <t xml:space="preserve">. The values in cells in blue and light blue are autogenerated from responses on previous tabs.
</t>
    </r>
    <r>
      <rPr>
        <i/>
        <sz val="10"/>
        <rFont val="Arial"/>
        <family val="2"/>
      </rPr>
      <t xml:space="preserve">
</t>
    </r>
    <r>
      <rPr>
        <sz val="10"/>
        <rFont val="Arial"/>
        <family val="2"/>
      </rPr>
      <t xml:space="preserve">3. Copy the data starting in cell </t>
    </r>
    <r>
      <rPr>
        <b/>
        <sz val="10"/>
        <rFont val="Arial"/>
        <family val="2"/>
      </rPr>
      <t xml:space="preserve">C10 </t>
    </r>
    <r>
      <rPr>
        <sz val="10"/>
        <rFont val="Arial"/>
        <family val="2"/>
      </rPr>
      <t xml:space="preserve">and </t>
    </r>
    <r>
      <rPr>
        <b/>
        <i/>
        <sz val="10"/>
        <rFont val="Arial"/>
        <family val="2"/>
      </rPr>
      <t>PASTE AS VALUES</t>
    </r>
    <r>
      <rPr>
        <b/>
        <sz val="10"/>
        <rFont val="Arial"/>
        <family val="2"/>
      </rPr>
      <t xml:space="preserve"> </t>
    </r>
    <r>
      <rPr>
        <sz val="10"/>
        <rFont val="Arial"/>
        <family val="2"/>
      </rPr>
      <t xml:space="preserve">into your risk register starting after the last current entry in the register. Do not copy </t>
    </r>
    <r>
      <rPr>
        <b/>
        <sz val="10"/>
        <rFont val="Arial"/>
        <family val="2"/>
      </rPr>
      <t>Column B</t>
    </r>
    <r>
      <rPr>
        <sz val="10"/>
        <rFont val="Arial"/>
        <family val="2"/>
      </rPr>
      <t>.</t>
    </r>
  </si>
  <si>
    <t>Risks to include:</t>
  </si>
  <si>
    <t>Risks above risk tolerance</t>
  </si>
  <si>
    <t>Reference</t>
  </si>
  <si>
    <t>Risk Identification</t>
  </si>
  <si>
    <t>Risk Assessment</t>
  </si>
  <si>
    <t>Mitigation Proposal</t>
  </si>
  <si>
    <t>Mitigation/Acceptance Complete</t>
  </si>
  <si>
    <t>Risk Reassessment</t>
  </si>
  <si>
    <t xml:space="preserve">Risk 
Number </t>
  </si>
  <si>
    <t>Risk Scenario</t>
  </si>
  <si>
    <r>
      <t xml:space="preserve">Date of Risk Identification
</t>
    </r>
    <r>
      <rPr>
        <b/>
        <sz val="10"/>
        <color theme="0"/>
        <rFont val="Arial"/>
        <family val="2"/>
      </rPr>
      <t>(mm/dd/yy)</t>
    </r>
  </si>
  <si>
    <t>Enterprise Risk Category</t>
  </si>
  <si>
    <t>IT Risk Category</t>
  </si>
  <si>
    <t>Risk Owner</t>
  </si>
  <si>
    <t>Risk Source</t>
  </si>
  <si>
    <t>Current Controls</t>
  </si>
  <si>
    <t>Optional Inherent Likelihood Parameters</t>
  </si>
  <si>
    <t>Optional Inherent Impact Parameters</t>
  </si>
  <si>
    <r>
      <rPr>
        <b/>
        <sz val="10"/>
        <color theme="0"/>
        <rFont val="Arial"/>
        <family val="2"/>
      </rPr>
      <t>(Total Inherent)</t>
    </r>
    <r>
      <rPr>
        <b/>
        <sz val="12"/>
        <color theme="0"/>
        <rFont val="Arial"/>
        <family val="2"/>
      </rPr>
      <t xml:space="preserve"> Likelihood</t>
    </r>
  </si>
  <si>
    <r>
      <rPr>
        <b/>
        <sz val="10"/>
        <color theme="0"/>
        <rFont val="Arial"/>
        <family val="2"/>
      </rPr>
      <t>(Total Inherent)</t>
    </r>
    <r>
      <rPr>
        <b/>
        <sz val="12"/>
        <color theme="0"/>
        <rFont val="Arial"/>
        <family val="2"/>
      </rPr>
      <t xml:space="preserve"> Impact</t>
    </r>
  </si>
  <si>
    <r>
      <rPr>
        <b/>
        <sz val="10"/>
        <color theme="0"/>
        <rFont val="Arial"/>
        <family val="2"/>
      </rPr>
      <t>(Inherent)</t>
    </r>
    <r>
      <rPr>
        <b/>
        <sz val="12"/>
        <color theme="0"/>
        <rFont val="Arial"/>
        <family val="2"/>
      </rPr>
      <t xml:space="preserve">
Risk Severity</t>
    </r>
  </si>
  <si>
    <t>Risk Response</t>
  </si>
  <si>
    <t>Mitigation Control</t>
  </si>
  <si>
    <t>Estimated Change to Likelihood and Impact of Risk Event/Threat</t>
  </si>
  <si>
    <r>
      <t xml:space="preserve">Proposed Date of Mitigation Implemented
</t>
    </r>
    <r>
      <rPr>
        <b/>
        <sz val="10"/>
        <color theme="0"/>
        <rFont val="Arial"/>
        <family val="2"/>
      </rPr>
      <t>(mm/dd/yy)</t>
    </r>
  </si>
  <si>
    <t>Timeline Comments</t>
  </si>
  <si>
    <r>
      <t xml:space="preserve">Approved By
</t>
    </r>
    <r>
      <rPr>
        <b/>
        <sz val="10"/>
        <color theme="0"/>
        <rFont val="Arial"/>
        <family val="2"/>
      </rPr>
      <t>(Director or above)</t>
    </r>
  </si>
  <si>
    <t>Additional Risk Comments</t>
  </si>
  <si>
    <r>
      <t xml:space="preserve">Date of Acceptance/ Mitigation Implementation
</t>
    </r>
    <r>
      <rPr>
        <b/>
        <sz val="10"/>
        <color theme="0"/>
        <rFont val="Arial"/>
        <family val="2"/>
      </rPr>
      <t>(mm/dd/yy)</t>
    </r>
  </si>
  <si>
    <r>
      <rPr>
        <b/>
        <sz val="10"/>
        <rFont val="Arial"/>
        <family val="2"/>
      </rPr>
      <t>(Residual)</t>
    </r>
    <r>
      <rPr>
        <b/>
        <sz val="12"/>
        <rFont val="Arial"/>
        <family val="2"/>
      </rPr>
      <t xml:space="preserve">
Likelihood</t>
    </r>
  </si>
  <si>
    <r>
      <rPr>
        <b/>
        <sz val="10"/>
        <rFont val="Arial"/>
        <family val="2"/>
      </rPr>
      <t>(Residual)</t>
    </r>
    <r>
      <rPr>
        <b/>
        <sz val="12"/>
        <rFont val="Arial"/>
        <family val="2"/>
      </rPr>
      <t xml:space="preserve">
Impact</t>
    </r>
  </si>
  <si>
    <t>Residual
Risk Severity</t>
  </si>
  <si>
    <t>Likelihood</t>
  </si>
  <si>
    <t>Expected Trend</t>
  </si>
  <si>
    <t>Velocity</t>
  </si>
  <si>
    <t>Functional Impact</t>
  </si>
  <si>
    <t>Informational Impact</t>
  </si>
  <si>
    <t>Recoverability Impact</t>
  </si>
  <si>
    <t>Technology Risk</t>
  </si>
  <si>
    <t>Paul</t>
  </si>
  <si>
    <t>Threat and Risk Assessment Identified Risk</t>
  </si>
  <si>
    <t>Unlikely</t>
  </si>
  <si>
    <t>Negligible</t>
  </si>
  <si>
    <t>John</t>
  </si>
  <si>
    <t>Minor</t>
  </si>
  <si>
    <t>George</t>
  </si>
  <si>
    <t>Implement a content security policy (CSP) to detect and prevent injection attacks.</t>
  </si>
  <si>
    <t>Possible</t>
  </si>
  <si>
    <t>Ringo</t>
  </si>
  <si>
    <t>Implement an EDR to monitor and respond to suspicious activities on endpoints.</t>
  </si>
  <si>
    <t>No New Actions Needed</t>
  </si>
  <si>
    <t>Rare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</si>
</sst>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m/d/yy;@"/>
  </numFmts>
  <fonts count="22" x14ac:knownFonts="1">
    <font>
      <sz val="11"/>
      <color theme="1"/>
      <name val="Aptos Narrow"/>
      <family val="2"/>
      <scheme val="minor"/>
    </font>
    <font>
      <sz val="10"/>
      <name val="Arial"/>
      <family val="2"/>
    </font>
    <font>
      <sz val="8"/>
      <name val="Arial"/>
      <family val="2"/>
    </font>
    <font>
      <i/>
      <sz val="10"/>
      <name val="Arial"/>
      <family val="2"/>
    </font>
    <font>
      <sz val="8"/>
      <color theme="0"/>
      <name val="Arial"/>
      <family val="2"/>
    </font>
    <font>
      <b/>
      <sz val="18"/>
      <color theme="0"/>
      <name val="Arial"/>
      <family val="2"/>
    </font>
    <font>
      <sz val="10"/>
      <color theme="0"/>
      <name val="Arial"/>
      <family val="2"/>
    </font>
    <font>
      <sz val="14"/>
      <name val="Arial"/>
      <family val="2"/>
    </font>
    <font>
      <b/>
      <sz val="10"/>
      <name val="Arial"/>
      <family val="2"/>
    </font>
    <font>
      <b/>
      <i/>
      <sz val="10"/>
      <name val="Arial"/>
      <family val="2"/>
    </font>
    <font>
      <sz val="11"/>
      <name val="Arial"/>
      <family val="2"/>
    </font>
    <font>
      <b/>
      <sz val="12"/>
      <color theme="0"/>
      <name val="Arial"/>
      <family val="2"/>
    </font>
    <font>
      <b/>
      <sz val="10"/>
      <color theme="1"/>
      <name val="Arial"/>
      <family val="2"/>
    </font>
    <font>
      <b/>
      <sz val="10"/>
      <color theme="0"/>
      <name val="Arial"/>
      <family val="2"/>
    </font>
    <font>
      <b/>
      <sz val="12"/>
      <name val="Arial"/>
      <family val="2"/>
    </font>
    <font>
      <b/>
      <sz val="11"/>
      <color theme="0"/>
      <name val="Arial"/>
      <family val="2"/>
    </font>
    <font>
      <sz val="10"/>
      <color theme="1" tint="0.59999389629810485"/>
      <name val="Arial"/>
      <family val="2"/>
    </font>
    <font>
      <sz val="10"/>
      <color rgb="FF000000"/>
      <name val="Arial"/>
      <family val="2"/>
    </font>
    <font>
      <b/>
      <sz val="14"/>
      <name val="Arial"/>
      <family val="2"/>
    </font>
    <font>
      <sz val="10"/>
      <color theme="1"/>
      <name val="Arial"/>
      <family val="2"/>
    </font>
    <font>
      <b/>
      <sz val="9"/>
      <color indexed="81"/>
      <name val="Tahoma"/>
      <family val="2"/>
    </font>
    <font>
      <sz val="9"/>
      <color indexed="81"/>
      <name val="Tahoma"/>
      <family val="2"/>
    </font>
  </fonts>
  <fills count="12">
    <fill>
      <patternFill patternType="none"/>
    </fill>
    <fill>
      <patternFill patternType="gray125"/>
    </fill>
    <fill>
      <patternFill patternType="solid">
        <fgColor rgb="FF29475F"/>
        <bgColor indexed="64"/>
      </patternFill>
    </fill>
    <fill>
      <patternFill patternType="solid">
        <fgColor theme="4" tint="-0.249977111117893"/>
        <bgColor indexed="64"/>
      </patternFill>
    </fill>
    <fill>
      <patternFill patternType="solid">
        <fgColor theme="1" tint="0.39997558519241921"/>
        <bgColor indexed="64"/>
      </patternFill>
    </fill>
    <fill>
      <patternFill patternType="solid">
        <fgColor theme="0"/>
        <bgColor indexed="64"/>
      </patternFill>
    </fill>
    <fill>
      <patternFill patternType="solid">
        <fgColor theme="4" tint="0.39997558519241921"/>
        <bgColor indexed="64"/>
      </patternFill>
    </fill>
    <fill>
      <patternFill patternType="solid">
        <fgColor theme="5" tint="0.59999389629810485"/>
        <bgColor indexed="64"/>
      </patternFill>
    </fill>
    <fill>
      <patternFill patternType="solid">
        <fgColor theme="4" tint="0.59999389629810485"/>
        <bgColor indexed="64"/>
      </patternFill>
    </fill>
    <fill>
      <patternFill patternType="solid">
        <fgColor theme="5" tint="0.79998168889431442"/>
        <bgColor indexed="64"/>
      </patternFill>
    </fill>
    <fill>
      <patternFill patternType="solid">
        <fgColor theme="7" tint="0.79998168889431442"/>
        <bgColor indexed="64"/>
      </patternFill>
    </fill>
    <fill>
      <patternFill patternType="solid">
        <fgColor theme="4" tint="0.79998168889431442"/>
        <bgColor indexed="64"/>
      </patternFill>
    </fill>
  </fills>
  <borders count="41">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diagonal/>
    </border>
    <border>
      <left style="medium">
        <color indexed="64"/>
      </left>
      <right/>
      <top style="medium">
        <color indexed="64"/>
      </top>
      <bottom/>
      <diagonal/>
    </border>
    <border>
      <left/>
      <right style="thin">
        <color indexed="64"/>
      </right>
      <top style="medium">
        <color indexed="64"/>
      </top>
      <bottom/>
      <diagonal/>
    </border>
    <border>
      <left style="thin">
        <color indexed="64"/>
      </left>
      <right style="thin">
        <color indexed="64"/>
      </right>
      <top style="thin">
        <color indexed="64"/>
      </top>
      <bottom style="thin">
        <color indexed="64"/>
      </bottom>
      <diagonal/>
    </border>
    <border>
      <left/>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medium">
        <color indexed="64"/>
      </left>
      <right/>
      <top/>
      <bottom/>
      <diagonal/>
    </border>
    <border>
      <left style="medium">
        <color indexed="64"/>
      </left>
      <right style="medium">
        <color indexed="64"/>
      </right>
      <top/>
      <bottom style="medium">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s>
  <cellStyleXfs count="2">
    <xf numFmtId="0" fontId="0" fillId="0" borderId="0"/>
    <xf numFmtId="0" fontId="1" fillId="0" borderId="0"/>
  </cellStyleXfs>
  <cellXfs count="129">
    <xf numFmtId="0" fontId="0" fillId="0" borderId="0" xfId="0"/>
    <xf numFmtId="0" fontId="2" fillId="0" borderId="0" xfId="1" applyFont="1"/>
    <xf numFmtId="0" fontId="1" fillId="0" borderId="0" xfId="1" applyAlignment="1">
      <alignment horizontal="left"/>
    </xf>
    <xf numFmtId="0" fontId="3" fillId="0" borderId="0" xfId="1" applyFont="1"/>
    <xf numFmtId="0" fontId="1" fillId="0" borderId="0" xfId="1"/>
    <xf numFmtId="0" fontId="1" fillId="0" borderId="0" xfId="1" applyAlignment="1">
      <alignment wrapText="1"/>
    </xf>
    <xf numFmtId="0" fontId="1" fillId="0" borderId="0" xfId="1" applyAlignment="1">
      <alignment horizontal="center" wrapText="1"/>
    </xf>
    <xf numFmtId="0" fontId="1" fillId="0" borderId="0" xfId="1" applyAlignment="1">
      <alignment horizontal="center"/>
    </xf>
    <xf numFmtId="0" fontId="1" fillId="0" borderId="0" xfId="1" applyAlignment="1">
      <alignment horizontal="center" vertical="center"/>
    </xf>
    <xf numFmtId="0" fontId="1" fillId="0" borderId="0" xfId="1" applyAlignment="1">
      <alignment horizontal="left" wrapText="1"/>
    </xf>
    <xf numFmtId="164" fontId="1" fillId="0" borderId="0" xfId="1" applyNumberFormat="1"/>
    <xf numFmtId="0" fontId="4" fillId="0" borderId="0" xfId="1" applyFont="1"/>
    <xf numFmtId="0" fontId="5" fillId="2" borderId="1" xfId="1" applyFont="1" applyFill="1" applyBorder="1" applyAlignment="1">
      <alignment horizontal="left" vertical="center"/>
    </xf>
    <xf numFmtId="0" fontId="5" fillId="2" borderId="2" xfId="1" applyFont="1" applyFill="1" applyBorder="1" applyAlignment="1">
      <alignment horizontal="left" vertical="center"/>
    </xf>
    <xf numFmtId="0" fontId="5" fillId="2" borderId="3" xfId="1" applyFont="1" applyFill="1" applyBorder="1" applyAlignment="1">
      <alignment horizontal="left" vertical="center"/>
    </xf>
    <xf numFmtId="0" fontId="5" fillId="0" borderId="0" xfId="1" applyFont="1" applyAlignment="1">
      <alignment horizontal="left" vertical="center"/>
    </xf>
    <xf numFmtId="0" fontId="5" fillId="2" borderId="0" xfId="1" applyFont="1" applyFill="1" applyAlignment="1">
      <alignment horizontal="left" vertical="center"/>
    </xf>
    <xf numFmtId="0" fontId="5" fillId="0" borderId="0" xfId="1" applyFont="1" applyAlignment="1">
      <alignment horizontal="left" vertical="center" wrapText="1"/>
    </xf>
    <xf numFmtId="0" fontId="6" fillId="0" borderId="0" xfId="1" applyFont="1"/>
    <xf numFmtId="0" fontId="7" fillId="0" borderId="0" xfId="1" applyFont="1" applyAlignment="1">
      <alignment vertical="center" wrapText="1"/>
    </xf>
    <xf numFmtId="0" fontId="1" fillId="0" borderId="4" xfId="1" applyBorder="1" applyAlignment="1">
      <alignment horizontal="left" vertical="center" wrapText="1"/>
    </xf>
    <xf numFmtId="0" fontId="1" fillId="0" borderId="0" xfId="1" applyAlignment="1">
      <alignment horizontal="left" vertical="center" wrapText="1"/>
    </xf>
    <xf numFmtId="0" fontId="1" fillId="0" borderId="0" xfId="1" applyAlignment="1">
      <alignment vertical="center" wrapText="1"/>
    </xf>
    <xf numFmtId="0" fontId="10" fillId="0" borderId="0" xfId="1" applyFont="1" applyAlignment="1">
      <alignment vertical="center" wrapText="1"/>
    </xf>
    <xf numFmtId="0" fontId="7" fillId="0" borderId="0" xfId="1" applyFont="1" applyAlignment="1">
      <alignment horizontal="center" vertical="center" wrapText="1"/>
    </xf>
    <xf numFmtId="0" fontId="0" fillId="0" borderId="0" xfId="0" applyAlignment="1">
      <alignment wrapText="1"/>
    </xf>
    <xf numFmtId="0" fontId="11" fillId="3" borderId="5" xfId="1" applyFont="1" applyFill="1" applyBorder="1" applyAlignment="1">
      <alignment horizontal="center" vertical="center" wrapText="1"/>
    </xf>
    <xf numFmtId="0" fontId="11" fillId="3" borderId="6" xfId="1" applyFont="1" applyFill="1" applyBorder="1" applyAlignment="1">
      <alignment horizontal="center" vertical="center" wrapText="1"/>
    </xf>
    <xf numFmtId="0" fontId="12" fillId="0" borderId="7" xfId="0" applyFont="1" applyBorder="1" applyAlignment="1">
      <alignment horizontal="center" vertical="center" wrapText="1"/>
    </xf>
    <xf numFmtId="0" fontId="1" fillId="0" borderId="8" xfId="1" applyBorder="1" applyAlignment="1">
      <alignment horizontal="left" vertical="center" wrapText="1"/>
    </xf>
    <xf numFmtId="0" fontId="1" fillId="0" borderId="8" xfId="1" applyBorder="1" applyAlignment="1">
      <alignment vertical="center" wrapText="1"/>
    </xf>
    <xf numFmtId="0" fontId="10" fillId="0" borderId="8" xfId="1" applyFont="1" applyBorder="1" applyAlignment="1">
      <alignment vertical="center" wrapText="1"/>
    </xf>
    <xf numFmtId="0" fontId="7" fillId="0" borderId="0" xfId="1" applyFont="1" applyAlignment="1">
      <alignment horizontal="left" vertical="center" wrapText="1"/>
    </xf>
    <xf numFmtId="0" fontId="11" fillId="4" borderId="9" xfId="0" applyFont="1" applyFill="1" applyBorder="1" applyAlignment="1">
      <alignment horizontal="center" vertical="center"/>
    </xf>
    <xf numFmtId="0" fontId="11" fillId="4" borderId="1" xfId="0" applyFont="1" applyFill="1" applyBorder="1" applyAlignment="1">
      <alignment horizontal="center" vertical="center"/>
    </xf>
    <xf numFmtId="0" fontId="11" fillId="4" borderId="2" xfId="0" applyFont="1" applyFill="1" applyBorder="1" applyAlignment="1">
      <alignment horizontal="center" vertical="center"/>
    </xf>
    <xf numFmtId="0" fontId="11" fillId="4" borderId="3" xfId="0" applyFont="1" applyFill="1" applyBorder="1" applyAlignment="1">
      <alignment horizontal="center" vertical="center"/>
    </xf>
    <xf numFmtId="0" fontId="11" fillId="4" borderId="1" xfId="0" applyFont="1" applyFill="1" applyBorder="1" applyAlignment="1">
      <alignment horizontal="left" vertical="center" wrapText="1"/>
    </xf>
    <xf numFmtId="0" fontId="1" fillId="5" borderId="0" xfId="1" applyFill="1"/>
    <xf numFmtId="0" fontId="11" fillId="3" borderId="10" xfId="1" applyFont="1" applyFill="1" applyBorder="1" applyAlignment="1">
      <alignment horizontal="center" vertical="center" wrapText="1"/>
    </xf>
    <xf numFmtId="0" fontId="11" fillId="3" borderId="11" xfId="1" applyFont="1" applyFill="1" applyBorder="1" applyAlignment="1">
      <alignment horizontal="center" vertical="center" wrapText="1"/>
    </xf>
    <xf numFmtId="0" fontId="11" fillId="3" borderId="12" xfId="1" applyFont="1" applyFill="1" applyBorder="1" applyAlignment="1">
      <alignment horizontal="center" vertical="center" wrapText="1"/>
    </xf>
    <xf numFmtId="0" fontId="11" fillId="3" borderId="13" xfId="1" applyFont="1" applyFill="1" applyBorder="1" applyAlignment="1">
      <alignment horizontal="center" vertical="center" wrapText="1"/>
    </xf>
    <xf numFmtId="0" fontId="11" fillId="3" borderId="14" xfId="1" applyFont="1" applyFill="1" applyBorder="1" applyAlignment="1">
      <alignment horizontal="center" vertical="center" wrapText="1"/>
    </xf>
    <xf numFmtId="0" fontId="11" fillId="3" borderId="15" xfId="1" applyFont="1" applyFill="1" applyBorder="1" applyAlignment="1">
      <alignment horizontal="center" vertical="center" wrapText="1"/>
    </xf>
    <xf numFmtId="0" fontId="11" fillId="3" borderId="16" xfId="1" applyFont="1" applyFill="1" applyBorder="1" applyAlignment="1">
      <alignment horizontal="center" vertical="center" wrapText="1"/>
    </xf>
    <xf numFmtId="0" fontId="11" fillId="3" borderId="12" xfId="0" applyFont="1" applyFill="1" applyBorder="1" applyAlignment="1">
      <alignment horizontal="center" vertical="center" wrapText="1"/>
    </xf>
    <xf numFmtId="0" fontId="11" fillId="6" borderId="11" xfId="1" applyFont="1" applyFill="1" applyBorder="1" applyAlignment="1">
      <alignment horizontal="center" vertical="center" wrapText="1"/>
    </xf>
    <xf numFmtId="0" fontId="11" fillId="6" borderId="12" xfId="1" applyFont="1" applyFill="1" applyBorder="1" applyAlignment="1">
      <alignment horizontal="center" vertical="center" wrapText="1"/>
    </xf>
    <xf numFmtId="0" fontId="11" fillId="6" borderId="13" xfId="1" applyFont="1" applyFill="1" applyBorder="1" applyAlignment="1">
      <alignment horizontal="center" vertical="center" wrapText="1"/>
    </xf>
    <xf numFmtId="0" fontId="11" fillId="3" borderId="11" xfId="1" applyFont="1" applyFill="1" applyBorder="1" applyAlignment="1">
      <alignment horizontal="left" vertical="center" wrapText="1"/>
    </xf>
    <xf numFmtId="0" fontId="14" fillId="7" borderId="11" xfId="0" applyFont="1" applyFill="1" applyBorder="1" applyAlignment="1">
      <alignment horizontal="center" vertical="center" wrapText="1"/>
    </xf>
    <xf numFmtId="0" fontId="14" fillId="7" borderId="12" xfId="0" applyFont="1" applyFill="1" applyBorder="1" applyAlignment="1">
      <alignment horizontal="center" vertical="center" wrapText="1"/>
    </xf>
    <xf numFmtId="0" fontId="14" fillId="7" borderId="13" xfId="1" applyFont="1" applyFill="1" applyBorder="1" applyAlignment="1">
      <alignment horizontal="center" vertical="center" wrapText="1"/>
    </xf>
    <xf numFmtId="0" fontId="1" fillId="0" borderId="17" xfId="1" applyBorder="1"/>
    <xf numFmtId="0" fontId="2" fillId="0" borderId="0" xfId="1" applyFont="1" applyAlignment="1">
      <alignment horizontal="center"/>
    </xf>
    <xf numFmtId="0" fontId="11" fillId="3" borderId="18" xfId="1" applyFont="1" applyFill="1" applyBorder="1" applyAlignment="1">
      <alignment horizontal="center" vertical="center" wrapText="1"/>
    </xf>
    <xf numFmtId="0" fontId="11" fillId="3" borderId="19" xfId="1" applyFont="1" applyFill="1" applyBorder="1" applyAlignment="1">
      <alignment horizontal="center" vertical="center" wrapText="1"/>
    </xf>
    <xf numFmtId="0" fontId="11" fillId="3" borderId="20" xfId="1" applyFont="1" applyFill="1" applyBorder="1" applyAlignment="1">
      <alignment horizontal="center" vertical="center" wrapText="1"/>
    </xf>
    <xf numFmtId="0" fontId="11" fillId="3" borderId="21" xfId="1" applyFont="1" applyFill="1" applyBorder="1" applyAlignment="1">
      <alignment horizontal="center" vertical="center" wrapText="1"/>
    </xf>
    <xf numFmtId="0" fontId="11" fillId="3" borderId="22" xfId="1" applyFont="1" applyFill="1" applyBorder="1" applyAlignment="1">
      <alignment horizontal="center" vertical="center" wrapText="1"/>
    </xf>
    <xf numFmtId="0" fontId="11" fillId="3" borderId="0" xfId="1" applyFont="1" applyFill="1" applyAlignment="1">
      <alignment horizontal="center" vertical="center" wrapText="1"/>
    </xf>
    <xf numFmtId="0" fontId="15" fillId="3" borderId="23" xfId="1" applyFont="1" applyFill="1" applyBorder="1" applyAlignment="1">
      <alignment horizontal="center" vertical="center" wrapText="1"/>
    </xf>
    <xf numFmtId="0" fontId="15" fillId="3" borderId="24" xfId="1" applyFont="1" applyFill="1" applyBorder="1" applyAlignment="1">
      <alignment horizontal="center" vertical="center" wrapText="1"/>
    </xf>
    <xf numFmtId="0" fontId="11" fillId="3" borderId="20" xfId="0" applyFont="1" applyFill="1" applyBorder="1" applyAlignment="1">
      <alignment horizontal="center" vertical="center" wrapText="1"/>
    </xf>
    <xf numFmtId="0" fontId="11" fillId="6" borderId="19" xfId="1" applyFont="1" applyFill="1" applyBorder="1" applyAlignment="1">
      <alignment horizontal="center" vertical="center" wrapText="1"/>
    </xf>
    <xf numFmtId="0" fontId="11" fillId="6" borderId="20" xfId="1" applyFont="1" applyFill="1" applyBorder="1" applyAlignment="1">
      <alignment horizontal="center" vertical="center" wrapText="1"/>
    </xf>
    <xf numFmtId="0" fontId="11" fillId="6" borderId="21" xfId="1" applyFont="1" applyFill="1" applyBorder="1" applyAlignment="1">
      <alignment horizontal="center" vertical="center" wrapText="1"/>
    </xf>
    <xf numFmtId="0" fontId="11" fillId="3" borderId="19" xfId="1" applyFont="1" applyFill="1" applyBorder="1" applyAlignment="1">
      <alignment horizontal="left" vertical="center" wrapText="1"/>
    </xf>
    <xf numFmtId="0" fontId="14" fillId="7" borderId="19" xfId="0" applyFont="1" applyFill="1" applyBorder="1" applyAlignment="1">
      <alignment horizontal="center" vertical="center" wrapText="1"/>
    </xf>
    <xf numFmtId="0" fontId="14" fillId="7" borderId="20" xfId="0" applyFont="1" applyFill="1" applyBorder="1" applyAlignment="1">
      <alignment horizontal="center" vertical="center" wrapText="1"/>
    </xf>
    <xf numFmtId="0" fontId="14" fillId="7" borderId="21" xfId="1" applyFont="1" applyFill="1" applyBorder="1" applyAlignment="1">
      <alignment horizontal="center" vertical="center" wrapText="1"/>
    </xf>
    <xf numFmtId="0" fontId="1" fillId="0" borderId="17" xfId="1" applyBorder="1" applyAlignment="1">
      <alignment horizontal="center"/>
    </xf>
    <xf numFmtId="0" fontId="16" fillId="0" borderId="25" xfId="1" applyFont="1" applyBorder="1" applyAlignment="1">
      <alignment horizontal="right" vertical="center"/>
    </xf>
    <xf numFmtId="0" fontId="3" fillId="8" borderId="26" xfId="0" applyFont="1" applyFill="1" applyBorder="1" applyAlignment="1">
      <alignment horizontal="left" vertical="center" wrapText="1"/>
    </xf>
    <xf numFmtId="14" fontId="17" fillId="5" borderId="26" xfId="0" applyNumberFormat="1" applyFont="1" applyFill="1" applyBorder="1" applyAlignment="1">
      <alignment horizontal="center" vertical="center" wrapText="1"/>
    </xf>
    <xf numFmtId="0" fontId="1" fillId="5" borderId="26" xfId="1" applyFill="1" applyBorder="1" applyAlignment="1">
      <alignment vertical="center"/>
    </xf>
    <xf numFmtId="0" fontId="9" fillId="8" borderId="26" xfId="0" applyFont="1" applyFill="1" applyBorder="1" applyAlignment="1">
      <alignment horizontal="center" vertical="center" wrapText="1"/>
    </xf>
    <xf numFmtId="0" fontId="18" fillId="8" borderId="26" xfId="0" applyFont="1" applyFill="1" applyBorder="1" applyAlignment="1">
      <alignment horizontal="center" vertical="center" wrapText="1"/>
    </xf>
    <xf numFmtId="0" fontId="9" fillId="8" borderId="27" xfId="0" applyFont="1" applyFill="1" applyBorder="1" applyAlignment="1">
      <alignment horizontal="center" vertical="center" wrapText="1"/>
    </xf>
    <xf numFmtId="0" fontId="1" fillId="5" borderId="28" xfId="1" applyFill="1" applyBorder="1" applyAlignment="1">
      <alignment vertical="center" wrapText="1"/>
    </xf>
    <xf numFmtId="0" fontId="1" fillId="5" borderId="29" xfId="1" applyFill="1" applyBorder="1" applyAlignment="1">
      <alignment vertical="center"/>
    </xf>
    <xf numFmtId="165" fontId="1" fillId="5" borderId="29" xfId="1" applyNumberFormat="1" applyFill="1" applyBorder="1" applyAlignment="1">
      <alignment horizontal="center" vertical="center"/>
    </xf>
    <xf numFmtId="14" fontId="1" fillId="5" borderId="26" xfId="1" applyNumberFormat="1" applyFill="1" applyBorder="1" applyAlignment="1">
      <alignment horizontal="left" vertical="center"/>
    </xf>
    <xf numFmtId="14" fontId="1" fillId="5" borderId="27" xfId="1" applyNumberFormat="1" applyFill="1" applyBorder="1" applyAlignment="1">
      <alignment horizontal="left" vertical="center"/>
    </xf>
    <xf numFmtId="0" fontId="1" fillId="9" borderId="30" xfId="1" applyFill="1" applyBorder="1" applyAlignment="1">
      <alignment horizontal="center" vertical="center"/>
    </xf>
    <xf numFmtId="0" fontId="1" fillId="9" borderId="7" xfId="1" applyFill="1" applyBorder="1" applyAlignment="1">
      <alignment horizontal="center" vertical="center"/>
    </xf>
    <xf numFmtId="164" fontId="19" fillId="10" borderId="31" xfId="0" applyNumberFormat="1" applyFont="1" applyFill="1" applyBorder="1" applyAlignment="1">
      <alignment horizontal="center" vertical="center"/>
    </xf>
    <xf numFmtId="1" fontId="16" fillId="0" borderId="32" xfId="1" applyNumberFormat="1" applyFont="1" applyBorder="1" applyAlignment="1">
      <alignment horizontal="right" vertical="center"/>
    </xf>
    <xf numFmtId="0" fontId="3" fillId="11" borderId="7" xfId="0" applyFont="1" applyFill="1" applyBorder="1" applyAlignment="1">
      <alignment horizontal="left" vertical="center" wrapText="1"/>
    </xf>
    <xf numFmtId="14" fontId="17" fillId="5" borderId="7" xfId="0" applyNumberFormat="1" applyFont="1" applyFill="1" applyBorder="1" applyAlignment="1">
      <alignment horizontal="center" vertical="center" wrapText="1"/>
    </xf>
    <xf numFmtId="0" fontId="1" fillId="5" borderId="7" xfId="1" applyFill="1" applyBorder="1" applyAlignment="1">
      <alignment vertical="center"/>
    </xf>
    <xf numFmtId="0" fontId="9" fillId="11" borderId="7" xfId="0" applyFont="1" applyFill="1" applyBorder="1" applyAlignment="1">
      <alignment horizontal="center" vertical="center" wrapText="1"/>
    </xf>
    <xf numFmtId="0" fontId="18" fillId="11" borderId="7" xfId="0" applyFont="1" applyFill="1" applyBorder="1" applyAlignment="1">
      <alignment horizontal="center" vertical="center" wrapText="1"/>
    </xf>
    <xf numFmtId="0" fontId="9" fillId="11" borderId="33" xfId="0" applyFont="1" applyFill="1" applyBorder="1" applyAlignment="1">
      <alignment horizontal="center" vertical="center" wrapText="1"/>
    </xf>
    <xf numFmtId="14" fontId="1" fillId="5" borderId="7" xfId="1" applyNumberFormat="1" applyFill="1" applyBorder="1" applyAlignment="1">
      <alignment horizontal="left" vertical="center"/>
    </xf>
    <xf numFmtId="14" fontId="1" fillId="5" borderId="33" xfId="1" applyNumberFormat="1" applyFill="1" applyBorder="1" applyAlignment="1">
      <alignment horizontal="left" vertical="center"/>
    </xf>
    <xf numFmtId="0" fontId="16" fillId="0" borderId="32" xfId="1" applyFont="1" applyBorder="1" applyAlignment="1">
      <alignment horizontal="right" vertical="center"/>
    </xf>
    <xf numFmtId="0" fontId="3" fillId="8" borderId="7" xfId="0" applyFont="1" applyFill="1" applyBorder="1" applyAlignment="1">
      <alignment horizontal="left" vertical="center" wrapText="1"/>
    </xf>
    <xf numFmtId="0" fontId="9" fillId="8" borderId="7" xfId="0" applyFont="1" applyFill="1" applyBorder="1" applyAlignment="1">
      <alignment horizontal="center" vertical="center" wrapText="1"/>
    </xf>
    <xf numFmtId="0" fontId="18" fillId="8" borderId="7" xfId="0" applyFont="1" applyFill="1" applyBorder="1" applyAlignment="1">
      <alignment horizontal="center" vertical="center" wrapText="1"/>
    </xf>
    <xf numFmtId="0" fontId="9" fillId="8" borderId="33" xfId="0" applyFont="1" applyFill="1" applyBorder="1" applyAlignment="1">
      <alignment horizontal="center" vertical="center" wrapText="1"/>
    </xf>
    <xf numFmtId="0" fontId="1" fillId="5" borderId="30" xfId="1" applyFill="1" applyBorder="1" applyAlignment="1">
      <alignment vertical="center" wrapText="1"/>
    </xf>
    <xf numFmtId="0" fontId="1" fillId="5" borderId="34" xfId="1" applyFill="1" applyBorder="1" applyAlignment="1">
      <alignment vertical="center" wrapText="1"/>
    </xf>
    <xf numFmtId="165" fontId="1" fillId="5" borderId="34" xfId="1" applyNumberFormat="1" applyFill="1" applyBorder="1" applyAlignment="1">
      <alignment horizontal="center" vertical="center" wrapText="1"/>
    </xf>
    <xf numFmtId="0" fontId="1" fillId="5" borderId="34" xfId="1" applyFill="1" applyBorder="1" applyAlignment="1">
      <alignment vertical="center"/>
    </xf>
    <xf numFmtId="165" fontId="1" fillId="5" borderId="34" xfId="1" applyNumberFormat="1" applyFill="1" applyBorder="1" applyAlignment="1">
      <alignment horizontal="center" vertical="center"/>
    </xf>
    <xf numFmtId="0" fontId="1" fillId="0" borderId="32" xfId="1" applyBorder="1" applyAlignment="1">
      <alignment horizontal="center" vertical="center"/>
    </xf>
    <xf numFmtId="1" fontId="1" fillId="0" borderId="32" xfId="1" applyNumberFormat="1" applyBorder="1" applyAlignment="1">
      <alignment horizontal="center" vertical="center"/>
    </xf>
    <xf numFmtId="0" fontId="1" fillId="0" borderId="35" xfId="1" applyBorder="1" applyAlignment="1">
      <alignment horizontal="center" vertical="center"/>
    </xf>
    <xf numFmtId="0" fontId="3" fillId="8" borderId="36" xfId="0" applyFont="1" applyFill="1" applyBorder="1" applyAlignment="1">
      <alignment horizontal="left" vertical="center" wrapText="1"/>
    </xf>
    <xf numFmtId="14" fontId="17" fillId="5" borderId="36" xfId="0" applyNumberFormat="1" applyFont="1" applyFill="1" applyBorder="1" applyAlignment="1">
      <alignment horizontal="center" vertical="center" wrapText="1"/>
    </xf>
    <xf numFmtId="0" fontId="1" fillId="5" borderId="36" xfId="1" applyFill="1" applyBorder="1" applyAlignment="1">
      <alignment vertical="center"/>
    </xf>
    <xf numFmtId="0" fontId="9" fillId="11" borderId="36" xfId="0" applyFont="1" applyFill="1" applyBorder="1" applyAlignment="1">
      <alignment horizontal="center" vertical="center" wrapText="1"/>
    </xf>
    <xf numFmtId="0" fontId="18" fillId="11" borderId="36" xfId="0" applyFont="1" applyFill="1" applyBorder="1" applyAlignment="1">
      <alignment horizontal="center" vertical="center" wrapText="1"/>
    </xf>
    <xf numFmtId="0" fontId="9" fillId="11" borderId="37" xfId="0" applyFont="1" applyFill="1" applyBorder="1" applyAlignment="1">
      <alignment horizontal="center" vertical="center" wrapText="1"/>
    </xf>
    <xf numFmtId="0" fontId="1" fillId="5" borderId="38" xfId="1" applyFill="1" applyBorder="1" applyAlignment="1">
      <alignment vertical="center" wrapText="1"/>
    </xf>
    <xf numFmtId="0" fontId="1" fillId="5" borderId="39" xfId="1" applyFill="1" applyBorder="1" applyAlignment="1">
      <alignment vertical="center"/>
    </xf>
    <xf numFmtId="165" fontId="1" fillId="5" borderId="39" xfId="1" applyNumberFormat="1" applyFill="1" applyBorder="1" applyAlignment="1">
      <alignment horizontal="center" vertical="center"/>
    </xf>
    <xf numFmtId="14" fontId="1" fillId="5" borderId="36" xfId="1" applyNumberFormat="1" applyFill="1" applyBorder="1" applyAlignment="1">
      <alignment horizontal="left" vertical="center"/>
    </xf>
    <xf numFmtId="14" fontId="1" fillId="5" borderId="37" xfId="1" applyNumberFormat="1" applyFill="1" applyBorder="1" applyAlignment="1">
      <alignment horizontal="left" vertical="center"/>
    </xf>
    <xf numFmtId="0" fontId="1" fillId="9" borderId="38" xfId="1" applyFill="1" applyBorder="1" applyAlignment="1">
      <alignment horizontal="center" vertical="center"/>
    </xf>
    <xf numFmtId="0" fontId="1" fillId="9" borderId="36" xfId="1" applyFill="1" applyBorder="1" applyAlignment="1">
      <alignment horizontal="center" vertical="center"/>
    </xf>
    <xf numFmtId="164" fontId="19" fillId="10" borderId="40" xfId="0" applyNumberFormat="1" applyFont="1" applyFill="1" applyBorder="1" applyAlignment="1">
      <alignment horizontal="center" vertical="center"/>
    </xf>
    <xf numFmtId="0" fontId="3" fillId="0" borderId="0" xfId="1" applyFont="1" applyAlignment="1">
      <alignment vertical="center"/>
    </xf>
    <xf numFmtId="0" fontId="1" fillId="0" borderId="0" xfId="1" applyAlignment="1">
      <alignment vertical="center"/>
    </xf>
    <xf numFmtId="0" fontId="1" fillId="0" borderId="0" xfId="1" applyAlignment="1">
      <alignment horizontal="left" vertical="center"/>
    </xf>
    <xf numFmtId="0" fontId="1" fillId="0" borderId="0" xfId="1" applyAlignment="1">
      <alignment horizontal="center" vertical="center" wrapText="1"/>
    </xf>
    <xf numFmtId="165" fontId="1" fillId="0" borderId="0" xfId="1" applyNumberFormat="1" applyAlignment="1">
      <alignment horizontal="center" vertical="center"/>
    </xf>
  </cellXfs>
  <cellStyles count="2">
    <cellStyle name="Normal" xfId="0" builtinId="0"/>
    <cellStyle name="Normal 2" xfId="1" xr:uid="{84253957-6CD1-4858-BDC3-9A8B74629C4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skgov-my.sharepoint.com/personal/kjaglan_gov_sk_ca/Documents/InfoTech/Risk%20Management/06-Security-Threat-and-Risk-Assessment-Tool.xlsx" TargetMode="External"/><Relationship Id="rId1" Type="http://schemas.openxmlformats.org/officeDocument/2006/relationships/externalLinkPath" Target="InfoTech/Risk%20Management/06-Security-Threat-and-Risk-Assessment-Tool.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1. Introduction"/>
      <sheetName val="2. Prepare"/>
      <sheetName val="3. Describe System"/>
      <sheetName val="4. Identify Threats"/>
      <sheetName val="5. Assess Risks"/>
      <sheetName val="6. Risk Register Integration"/>
      <sheetName val="7. Dashboard"/>
      <sheetName val="Lists and Calcs (Hidden)"/>
      <sheetName val="Threat DB (Hidden)"/>
      <sheetName val="Definitions"/>
      <sheetName val="2x2 Grid Output"/>
    </sheetNames>
    <sheetDataSet>
      <sheetData sheetId="0"/>
      <sheetData sheetId="1">
        <row r="6">
          <cell r="E6">
            <v>45033</v>
          </cell>
        </row>
        <row r="35">
          <cell r="O35" t="str">
            <v>Negligible</v>
          </cell>
          <cell r="P35" t="str">
            <v>Minor</v>
          </cell>
          <cell r="Q35" t="str">
            <v>Moderate</v>
          </cell>
          <cell r="R35" t="str">
            <v>Major</v>
          </cell>
          <cell r="S35" t="str">
            <v>Catastrophic</v>
          </cell>
        </row>
        <row r="36">
          <cell r="N36" t="str">
            <v>Almost Certain</v>
          </cell>
        </row>
        <row r="37">
          <cell r="N37" t="str">
            <v>Likely</v>
          </cell>
        </row>
        <row r="38">
          <cell r="N38" t="str">
            <v>Possible</v>
          </cell>
        </row>
        <row r="39">
          <cell r="N39" t="str">
            <v>Unlikely</v>
          </cell>
        </row>
        <row r="40">
          <cell r="N40" t="str">
            <v>Rare</v>
          </cell>
        </row>
        <row r="50">
          <cell r="O50" t="str">
            <v>Qualitative</v>
          </cell>
        </row>
      </sheetData>
      <sheetData sheetId="2"/>
      <sheetData sheetId="3"/>
      <sheetData sheetId="4">
        <row r="6">
          <cell r="B6" t="str">
            <v>TRA1.1 - ERP System - An attacker infects an end-user device with malware that scans the device's network for other systems and identifies valuable assets like servers or databases. This information could then be used to target those systems for further attacks. The reconnaissance might also involve stealing data from the end-user device itself, such as login credentials or browsing history, which could be used in other parts of the attack.</v>
          </cell>
          <cell r="D6" t="str">
            <v>WAF, Email Filtering, Vulnerability Management Program, Application Safelisting, Security Awareness Training Program, Phishing Simulations, Firewall, Endpoint Detection and Response, Intrusion Detection and Protection, Data Loss Prevention.</v>
          </cell>
          <cell r="G6" t="str">
            <v>Unlikely</v>
          </cell>
          <cell r="H6" t="str">
            <v>Negligible</v>
          </cell>
          <cell r="J6" t="str">
            <v>No New Actions Needed</v>
          </cell>
          <cell r="L6" t="str">
            <v>Source of residual risks: Zero-days, skilled adversaries (e.g. APTs).</v>
          </cell>
        </row>
        <row r="7">
          <cell r="B7" t="str">
            <v>TRA1.2 - ERP System - Attackers leverage firmware or hardware design flaws to gain initial access to the system.</v>
          </cell>
          <cell r="D7" t="str">
            <v>WAF, Email Filtering, Vulnerability Management Program, Application Safelisting, Security Awareness Training Program, Phishing Simulations, Firewall, Endpoint Detection and Response, Intrusion Detection and Protection, Data Loss Prevention.</v>
          </cell>
          <cell r="G7" t="str">
            <v>Rare</v>
          </cell>
          <cell r="H7" t="str">
            <v>Minor</v>
          </cell>
          <cell r="J7" t="str">
            <v>No New Actions Needed</v>
          </cell>
          <cell r="L7" t="str">
            <v>Source of residual risks: Zero-days, bypass techniques, social engineering.</v>
          </cell>
        </row>
        <row r="8">
          <cell r="B8" t="str">
            <v>TRA1.3 - ERP System - Attackers use obfuscation techniques to hide malicious software on an end-user device. They could employ fileless malware that resides only in memory, avoiding traditional file-based detection methods. The attacker might also leverage PowerShell scripts, which can execute malicious activities without writing to disk, or use rootkits to manipulate OS processes and hide the presence of malware. Finally, they can tamper with security features to disable antivirus programs directly or via registry modifications and ensure their activities remain undetected.</v>
          </cell>
          <cell r="D8" t="str">
            <v>WAF, Email Filtering, Vulnerability Management Program, Application Safelisting, Security Awareness Training Program, Phishing Simulations, Firewall, Endpoint Detection and Response, Intrusion Detection and Protection, Data Loss Prevention.</v>
          </cell>
          <cell r="G8" t="str">
            <v>Possible</v>
          </cell>
          <cell r="H8" t="str">
            <v>Moderate</v>
          </cell>
          <cell r="J8" t="str">
            <v>No New Actions Needed</v>
          </cell>
          <cell r="L8" t="str">
            <v>Source of residual risks: Zero-days, social engineering, EDR bypasses, living off the land, and skilled attackers.</v>
          </cell>
        </row>
        <row r="9">
          <cell r="B9" t="str">
            <v>TRA1.4 - ERP System - A malicious phishing email is sent to a user on the device. The email appears to be from a legitimate source and tricks the user into clicking a malicious link. The link downloads malware that steals the user's login credentials stored on the device (e.g. browser-saved passwords, local password managers). The attacker can then use these stolen credentials to access other resources on the network or impersonate the user.</v>
          </cell>
          <cell r="D9" t="str">
            <v>WAF, Email Filtering, Vulnerability Management Program, Application Safelisting, Security Awareness Training Program, Phishing Simulations, Firewall, Endpoint Detection and Response, Intrusion Detection and Protection, Data Loss Prevention.</v>
          </cell>
          <cell r="G9" t="str">
            <v>Unlikely</v>
          </cell>
          <cell r="H9" t="str">
            <v>Major</v>
          </cell>
          <cell r="J9" t="str">
            <v>No New Actions Needed</v>
          </cell>
          <cell r="L9" t="str">
            <v>Source of residual risks: Zero days, EDR bypasses, and living off the land.</v>
          </cell>
        </row>
        <row r="10">
          <cell r="B10" t="str">
            <v>TRA1.5 - ERP System - Attackers install malware on the device to scan and enumerate local files and folders. This information could include sensitive documents, configuration files, or even other user credentials stored locally. The malware then exfiltrates this discovered data to the attacker, granting them unauthorized access to information stored on the device.</v>
          </cell>
          <cell r="D10" t="str">
            <v>WAF, Email Filtering, Vulnerability Management Program, Application Safelisting, Security Awareness Training Program, Phishing Simulations, Firewall, Endpoint Detection and Response, Intrusion Detection and Protection, Data Loss Prevention.</v>
          </cell>
          <cell r="G10" t="str">
            <v>Possible</v>
          </cell>
          <cell r="H10" t="str">
            <v>Catastrophic</v>
          </cell>
          <cell r="J10" t="str">
            <v>Mitigate the Risk</v>
          </cell>
          <cell r="L10" t="str">
            <v>Source of residual risks: Zero-days, living off the land, lateral account movement.</v>
          </cell>
        </row>
        <row r="11">
          <cell r="B11" t="str">
            <v>TRA1.6 - ERP System - Attackers gain initial access to a device through a phishing email or malware download. They discover and exploit legitimate remote access tools installed on the device, such as remote desktop protocol (RDP) or file-sharing tools. Attackers could also compromise a device and use it to access shared resources on the network. This might involve using stolen credentials to access network drives or cloud storage mounted on the device. In both scenarios, the attacker can discover and potentially gain access to other systems on the network.</v>
          </cell>
          <cell r="D11" t="str">
            <v>WAF, Email Filtering, Vulnerability Management Program, Application Safelisting, Security Awareness Training Program, Phishing Simulations, Firewall, Endpoint Detection and Response, Intrusion Detection and Protection, Data Loss Prevention.</v>
          </cell>
          <cell r="G11" t="str">
            <v>Possible</v>
          </cell>
          <cell r="H11" t="str">
            <v>Negligible</v>
          </cell>
          <cell r="J11" t="str">
            <v>No New Actions Needed</v>
          </cell>
          <cell r="L11" t="str">
            <v>Source of residual risks: EDR bypasses, IDS/IPS evasion, obfuscation and encryption, living off the land.</v>
          </cell>
        </row>
        <row r="12">
          <cell r="B12" t="str">
            <v>TRA1.7 - ERP System - Attackers deploy malicious software on the device to steal browsing history and downloaded files; search and collect specific file types; target saved credentials in applications, websites, and network shares; and collect hardware specifications, software versions, and network configurations.</v>
          </cell>
          <cell r="D12" t="str">
            <v>WAF, Email Filtering, Vulnerability Management Program, Application Safelisting, Security Awareness Training Program, Phishing Simulations, Firewall, Endpoint Detection and Response, Intrusion Detection and Protection, Data Loss Prevention.</v>
          </cell>
          <cell r="G12" t="str">
            <v>Possible</v>
          </cell>
          <cell r="H12" t="str">
            <v>Minor</v>
          </cell>
          <cell r="J12" t="str">
            <v>No New Actions Needed</v>
          </cell>
          <cell r="L12" t="str">
            <v>Source of residual risks: Social engineering, zero-days, malware, pass-the-hash attack.</v>
          </cell>
        </row>
        <row r="13">
          <cell r="B13" t="str">
            <v>TRA1.8 - ERP System - Attackers gain access to the device through a phishing attack. They trick an employee into downloading a malicious attachment that installs malware. The malware surreptitiously collects sensitive data stored on the device, including proprietary business information, personal identification, or access credentials. The malware then uses available network connections to transmit the collected data secretly to an external command-and-control server.</v>
          </cell>
          <cell r="D13" t="str">
            <v>WAF, Email Filtering, Vulnerability Management Program, Application Safelisting, Security Awareness Training Program, Phishing Simulations, Firewall, Endpoint Detection and Response, Intrusion Detection and Protection, Data Loss Prevention.</v>
          </cell>
          <cell r="G13" t="str">
            <v>Unlikely</v>
          </cell>
          <cell r="H13" t="str">
            <v>Moderate</v>
          </cell>
          <cell r="J13" t="str">
            <v>No New Actions Needed</v>
          </cell>
          <cell r="L13" t="str">
            <v>Source of residual risks: Internal discovery limitations if the attacker has already established a foothold inside the network, as the firewalls and IPS become less effective.</v>
          </cell>
        </row>
        <row r="14">
          <cell r="B14" t="str">
            <v>TRA1.9 - ERP System - Attackers could gain unauthorized physical access to a server room and exploit a vulnerability in the server's firmware or hardware configuration to install malicious code. They could then steal data, install additional malware, or attack other systems on the network. Conversely, attackers could use a spearphishing campaign to deliver a malicious link or attachment to an IT administrator. Once clicked, the link or attachment could exploit a vulnerability, allowing unauthorized access to the server. Attackers might also use stolen credentials obtained through credential stuffing or phishing to log into a server directly.</v>
          </cell>
          <cell r="D14" t="str">
            <v>WAF, Email Filtering, Vulnerability Management Program, Application Safelisting, Security Awareness Training Program, Phishing Simulations, Firewall, Endpoint Detection and Response, Intrusion Detection and Protection, Data Loss Prevention.</v>
          </cell>
          <cell r="G14" t="str">
            <v>Possible</v>
          </cell>
          <cell r="H14" t="str">
            <v>Major</v>
          </cell>
          <cell r="J14" t="str">
            <v>Formally Accept the Risk</v>
          </cell>
          <cell r="L14" t="str">
            <v>Source of residual risks: Zero-Days, stolen credentials, network pivoting, living off the land.</v>
          </cell>
        </row>
        <row r="15">
          <cell r="B15" t="str">
            <v>TRA1.10 - ERP System - Attackers compromise a server through a software vulnerability and execute malicious code directly on the server's hardware to establish persistent access, control server operations, or spread to other systems. Techniques might include using PowerShell scripts, scheduled tasks, or exploiting server management software to run malicious code. This malicious code could take many forms, such as a cryptojacker that uses the server's processing power for cryptocurrency mining or ransomware that encrypts files stored on the server's disks.</v>
          </cell>
          <cell r="D15" t="str">
            <v>WAF, Email Filtering, Vulnerability Management Program, Application Safelisting, Security Awareness Training Program, Phishing Simulations, Firewall, Endpoint Detection and Response, Intrusion Detection and Protection, Data Loss Prevention.</v>
          </cell>
          <cell r="G15" t="str">
            <v>Possible</v>
          </cell>
          <cell r="H15" t="str">
            <v>Catastrophic</v>
          </cell>
          <cell r="J15" t="str">
            <v>Mitigate the Risk</v>
          </cell>
          <cell r="L15" t="str">
            <v>Source of residual risk: Zero-days, social engineering, supply chain compromise.
Potential additional controls: Hardened application configurations, MFA.</v>
          </cell>
        </row>
        <row r="16">
          <cell r="B16" t="str">
            <v>TRA1.11 - ERP System - Attackers with physical access to a server maliciously modify the server's boot firmware (e.g. BIOS, UEFI) to embed a persistent backdoor. This backdoor could grant the attacker unauthorized access even after the server is rebooted or the operating system is reinstalled. Techniques to achieve persistence on a server might include installing a new service or daemon, modifying existing services, or scripting changes that ensure the malware reinitiates upon system reboot.</v>
          </cell>
          <cell r="D16" t="str">
            <v>WAF, Email Filtering, Vulnerability Management Program, Application Safelisting, Security Awareness Training Program, Phishing Simulations, Firewall, Endpoint Detection and Response, Intrusion Detection and Protection, Data Loss Prevention.</v>
          </cell>
          <cell r="G16" t="str">
            <v>Likely</v>
          </cell>
          <cell r="H16" t="str">
            <v>Negligible</v>
          </cell>
          <cell r="J16" t="str">
            <v>No New Actions Needed</v>
          </cell>
          <cell r="L16" t="str">
            <v>Source of residual risk: Blending in, obfuscation, and encryption; living off the land. Existing controls are better at preventing C2 than detecting an established C2.
Potential additional controls: Network segmentation, egress filtering, traffic analysis, threat hunting.</v>
          </cell>
        </row>
        <row r="17">
          <cell r="B17" t="str">
            <v>TRA1.12 - ERP System - Attackers gain initial access to the server with low-level privileges, perhaps through a vulnerability in the server's remote management interface. Attackers then exploit a vulnerability in the server's firmware or hardware configuration to elevate their privileges to a higher level, such as root access. This escalated access would allow the attacker to perform more damaging actions on the server, such as installing persistent malware or stealing sensitive data.</v>
          </cell>
          <cell r="D17" t="str">
            <v>WAF, Email Filtering, Vulnerability Management Program, Application Safelisting, Security Awareness Training Program, Phishing Simulations, Firewall, Endpoint Detection and Response, Intrusion Detection and Protection, Data Loss Prevention.</v>
          </cell>
          <cell r="G17" t="str">
            <v>Possible</v>
          </cell>
          <cell r="H17" t="str">
            <v>Minor</v>
          </cell>
          <cell r="J17" t="str">
            <v>No New Actions Needed</v>
          </cell>
          <cell r="L17" t="str">
            <v>Source of residual risk: Attacker evasion tactics (e.g. encryption, data compression, obfuscation), living off the land, and DLP limitations.
Potential additional controls: Egress filtering and monitoring, CASB, UBA, and file integrity monitoring.</v>
          </cell>
        </row>
        <row r="18">
          <cell r="B18" t="str">
            <v>TRA1.13 - ERP System - After gaining access, attackers disable security software, alter log files to hide their activity, or use encryption and obfuscation to make their malware less detectable. For example, they modify the server's firewall settings to allow malicious traffic to pass undetected, or they use rootkits to intercept and manipulate system calls to hide the presence of their processes and files. Additionally, they employ polymorphic code to change the signature of their malware automatically to evade signature-based detection tools.</v>
          </cell>
          <cell r="D18" t="str">
            <v>WAF, Email Filtering, Vulnerability Management Program, Application Safelisting, Security Awareness Training Program, Phishing Simulations, Firewall, Endpoint Detection and Response, Intrusion Detection and Protection, Data Loss Prevention.</v>
          </cell>
          <cell r="G18" t="str">
            <v>Possible</v>
          </cell>
          <cell r="H18" t="str">
            <v>Catastrophic</v>
          </cell>
          <cell r="J18" t="str">
            <v>Mitigate the Risk</v>
          </cell>
          <cell r="L18" t="str">
            <v>Source of residual risk: Ransomware, skilled attackers.
Potential additional controls: Immutable backups, privilege restrictions, MFA.</v>
          </cell>
        </row>
        <row r="19">
          <cell r="B19" t="str">
            <v>TRA1.14 - ERP System - An attacker with physical access to a server steals cached credentials stored directly on the server's hardware. This could involve stealing credentials from a hardware security module (HSM) or extracting them from the server's memory after it's been shut down but before the volatile memory clears. These stolen credentials could then be used to access other systems on the network or gain unauthorized access to sensitive data stored on the server itself.</v>
          </cell>
          <cell r="D19" t="str">
            <v>WAF, Email Filtering, Vulnerability Management Program, Application Safelisting, Security Awareness Training Program, Phishing Simulations, Firewall, Endpoint Detection and Response, Intrusion Detection and Protection, Data Loss Prevention.</v>
          </cell>
          <cell r="G19" t="str">
            <v>Possible</v>
          </cell>
          <cell r="H19" t="str">
            <v>Major</v>
          </cell>
          <cell r="J19" t="str">
            <v>Formally Accept the Risk</v>
          </cell>
          <cell r="L19" t="str">
            <v>Source of residual risks: Zero-days, skilled adversaries (e.g. APTs), supply chain attacks, physical access, misconfigurations. 
Gap: Monitoring focused on endpoints and web traffic, lack of monitoring solution on server devices.
Potential additional control: Network segmentation.</v>
          </cell>
        </row>
        <row r="20">
          <cell r="B20" t="str">
            <v>TRA1.15 - ERP System - Attackers with physical access to the server extract data directly from its hardware. This could involve stealing data from storage devices by bypassing logical security controls or using specialized hardware tools to capture raw data from the storage media. This scenario is distinct from attackers collecting data through software means (e.g. copying files, compromising databases). Here, the focus is on bypassing software security altogether and leveraging physical access to the server hardware to acquire data.</v>
          </cell>
          <cell r="D20" t="str">
            <v>WAF, Email Filtering, Vulnerability Management Program, Application Safelisting, Security Awareness Training Program, Phishing Simulations, Firewall, Endpoint Detection and Response, Intrusion Detection and Protection, Data Loss Prevention.</v>
          </cell>
          <cell r="G20" t="str">
            <v>Possible</v>
          </cell>
          <cell r="H20" t="str">
            <v>Catastrophic</v>
          </cell>
          <cell r="J20" t="str">
            <v>Mitigate the Risk</v>
          </cell>
          <cell r="L20" t="str">
            <v>Source of residual risks: Zero-days, skilled adversaries (e.g. APTs), supply chain attacks, physical access, misconfigurations, living off the land.
Gap: Monitoring focused on endpoints and web traffic, lack of monitoring solution on server devices.
Potential additional control: Network segmentation.</v>
          </cell>
        </row>
        <row r="21">
          <cell r="B21" t="str">
            <v>TRA1.16 - ERP System - An attacker with physical access to a server steals data stored on the server's hardware and physically removes it from the premises. This could involve removing storage drives entirely or using hardware tools to copy data directly from the server's storage media to another device under their control. Similar to the Collection tactic, the emphasis here is on the physical bypass of logical security measures to exfiltrate data. The server hardware itself serves as the source of the data being exfiltrated.</v>
          </cell>
          <cell r="D21" t="str">
            <v>WAF, Email Filtering, Vulnerability Management Program, Application Safelisting, Security Awareness Training Program, Phishing Simulations, Firewall, Endpoint Detection and Response, Intrusion Detection and Protection, Data Loss Prevention.</v>
          </cell>
          <cell r="G21" t="str">
            <v>Unlikely</v>
          </cell>
          <cell r="H21" t="str">
            <v>Negligible</v>
          </cell>
          <cell r="J21" t="str">
            <v>No New Actions Needed</v>
          </cell>
          <cell r="L21" t="str">
            <v>Source of residual risks: Zero-days, skilled adversaries (e.g. APTs), supply chain attacks.
Gap: Monitoring focused on endpoints and web traffic, lack of monitoring solution on server devices.
Potential additional control: network segmentation.</v>
          </cell>
        </row>
        <row r="22">
          <cell r="B22" t="str">
            <v>TRA1.17 - ERP System - An attacker could exploit a vulnerability in a SAN's firmware to gather information about connected devices, data types stored, and security configurations. This reconnaissance aids in targeting specific systems and planning later attacks.</v>
          </cell>
          <cell r="D22" t="str">
            <v>WAF, Email Filtering, Vulnerability Management Program, Application Safelisting, Security Awareness Training Program, Phishing Simulations, Firewall, Endpoint Detection and Response, Intrusion Detection and Protection, Data Loss Prevention.</v>
          </cell>
          <cell r="G22" t="str">
            <v>Possible</v>
          </cell>
          <cell r="H22" t="str">
            <v>Minor</v>
          </cell>
          <cell r="J22" t="str">
            <v>No New Actions Needed</v>
          </cell>
          <cell r="L22" t="str">
            <v>Source of residual risks: Zero-days, lateral movement, supply chain attacks, physical access.
Gap: Monitoring focused on endpoints and web traffic, lack of monitoring solution on server devices.
Potential additional control: Network segmentation.</v>
          </cell>
        </row>
        <row r="23">
          <cell r="B23" t="str">
            <v>TRA1.18 - ERP System - An attacker with physical access to a SAN device steals credentials stored on the device itself. These credentials could be for administrative access to the SAN or credentials for other systems that are stored on the SAN for authentication purposes (e.g. iSCSI targets). Stealing these credentials could allow the attacker to tamper with the SAN configuration, disrupt data access for authorized users, or potentially use the stolen credentials to pivot to other systems on the network.</v>
          </cell>
          <cell r="D23" t="str">
            <v>WAF, Email Filtering, Vulnerability Management Program, Application Safelisting, Security Awareness Training Program, Phishing Simulations, Firewall, Endpoint Detection and Response, Intrusion Detection and Protection, Data Loss Prevention.</v>
          </cell>
          <cell r="G23" t="str">
            <v>Possible</v>
          </cell>
          <cell r="H23" t="str">
            <v>Moderate</v>
          </cell>
          <cell r="J23" t="str">
            <v>No New Actions Needed</v>
          </cell>
          <cell r="L23" t="str">
            <v>Source of residual risks: Zero-days, skilled adversaries (e.g. APTs), obfuscation and encryption, and living off the land.
Gap: Monitoring focused on endpoints and web traffic, lack of monitoring solution on server devices.
Potential additional control: Network segmentation.</v>
          </cell>
        </row>
        <row r="24">
          <cell r="B24" t="str">
            <v>TRA1.19 - ERP System - An attacker compromises a server with access to the SAN. They then exploit vulnerabilities in the SAN management interface or protocols to gather information about the storage devices connected to the SAN. This information could include the types of devices being stored (physical servers, virtual machines, etc.), the amount of storage allocated to each device, and potentially even labels or descriptive names assigned to the storage volumes. This information could be used to identify high-value targets on the network (e.g. servers storing sensitive data) or to plan further attacks against specific devices.</v>
          </cell>
          <cell r="D24" t="str">
            <v>WAF, Email Filtering, Vulnerability Management Program, Application Safelisting, Security Awareness Training Program, Phishing Simulations, Firewall, Endpoint Detection and Response, Intrusion Detection and Protection, Data Loss Prevention.</v>
          </cell>
          <cell r="G24" t="str">
            <v>Possible</v>
          </cell>
          <cell r="H24" t="str">
            <v>Major</v>
          </cell>
          <cell r="J24" t="str">
            <v>Formally Accept the Risk</v>
          </cell>
          <cell r="L24" t="str">
            <v>Source of residual risks: Zero-days, skilled adversaries, misconfigurations, admin credential reuse, lateral movement, physical attacks.
Gap: Monitoring focused on endpoints and web traffic, lack of monitoring solution on server devices.
Potential additional control: Network segmentation.</v>
          </cell>
        </row>
        <row r="25">
          <cell r="B25" t="str">
            <v>TRA1.20 - ERP System - An attacker with administrative access to the SAN configuration can access and collect data stored on the SAN devices. This data could include sensitive information like financial records, personal data, intellectual property, or internal documents. The attacker might then exfiltrate this collected data for further exploitation. In addition to administrative access, there could also be scenarios where an attacker exploits vulnerabilities in the SAN software or firmware to gain unauthorized access and collect data.</v>
          </cell>
          <cell r="D25" t="str">
            <v>WAF, Email Filtering, Vulnerability Management Program, Application Safelisting, Security Awareness Training Program, Phishing Simulations, Firewall, Endpoint Detection and Response, Intrusion Detection and Protection, Data Loss Prevention.</v>
          </cell>
          <cell r="G25" t="str">
            <v>Possible</v>
          </cell>
          <cell r="H25" t="str">
            <v>Catastrophic</v>
          </cell>
          <cell r="J25" t="str">
            <v>Mitigate the Risk</v>
          </cell>
          <cell r="L25" t="str">
            <v>Source of residual risks: Zero-days, skilled adversaries, sensitivity of data, insider threats, and lateral movement.
Gap: Monitoring focused on endpoints and web traffic, lack of monitoring solution on server devices.
Potential additional control: Network segmentation.</v>
          </cell>
        </row>
        <row r="26">
          <cell r="B26" t="str">
            <v>TRA1.21 - ERP System - An attacker gains access to a system with a compromised account. They exploit a vulnerability in the database software or misconfigured permissions to access sensitive data. The attacker then uses various techniques to exfiltrate the data - copying it to a removable drive, uploading it to a cloud storage service, or sending it over the network.</v>
          </cell>
          <cell r="D26" t="str">
            <v>WAF, Email Filtering, Vulnerability Management Program, Application Safelisting, Security Awareness Training Program, Phishing Simulations, Firewall, Endpoint Detection and Response, Intrusion Detection and Protection, Data Loss Prevention.</v>
          </cell>
          <cell r="G26" t="str">
            <v>Possible</v>
          </cell>
          <cell r="H26" t="str">
            <v>Negligible</v>
          </cell>
          <cell r="J26" t="str">
            <v>No New Actions Needed</v>
          </cell>
          <cell r="L26" t="str">
            <v>Source of residual risks: Zero-days, skilled adversaries, data sensitivity, evasion techniques, slow-and-low exfiltration.
Gap: Monitoring focused on endpoints and web traffic, lack of monitoring solution on server devices.
Potential additional control: Network segmentation.</v>
          </cell>
        </row>
        <row r="27">
          <cell r="B27" t="str">
            <v>TRA1.22 - ERP System - An attacker disrupts access to the SAN by encrypting or deleting data stored on the SAN devices. This could bring critical business operations to a halt, as users and applications may be unable to access the data they need to function. The attacker might then demand a ransom payment to decrypt the data or threaten to release the stolen data publicly. In addition to data encryption or deletion, an attacker could also physically damage the SAN hardware or disrupt the network connections to the SAN, causing a similar impact.</v>
          </cell>
          <cell r="D27" t="str">
            <v>WAF, Email Filtering, Vulnerability Management Program, Application Safelisting, Security Awareness Training Program, Phishing Simulations, Firewall, Endpoint Detection and Response, Intrusion Detection and Protection, Data Loss Prevention.</v>
          </cell>
          <cell r="G27" t="str">
            <v>Unlikely</v>
          </cell>
          <cell r="H27" t="str">
            <v>Minor</v>
          </cell>
          <cell r="J27" t="str">
            <v>No New Actions Needed</v>
          </cell>
          <cell r="L27" t="str">
            <v>Source of residual risks: Zero-days, skilled adversaries, internal attackers (reconnaissance).</v>
          </cell>
        </row>
        <row r="28">
          <cell r="B28" t="str">
            <v>TRA1.23 - ERP System - Attackers gain physical access to a backup device (e.g. external hard drive, tape drive) or a backup appliance. They then exploit vulnerabilities in the backup software or firmware to gather information about the systems and data being backed up. This information could include details about the OS, applications, and files that are stored on the primary systems. They could use this data to target other systems for further attacks or to identify high-value data to steal. Attackers might use social engineering to trick administrators into revealing information about the backup system configuration or stored data without physical access.</v>
          </cell>
          <cell r="D28" t="str">
            <v>WAF, Email Filtering, Vulnerability Management Program, Application Safelisting, Security Awareness Training Program, Phishing Simulations, Firewall, Endpoint Detection and Response, Intrusion Detection and Protection, Data Loss Prevention.</v>
          </cell>
          <cell r="G28" t="str">
            <v>Unlikely</v>
          </cell>
          <cell r="H28" t="str">
            <v>Moderate</v>
          </cell>
          <cell r="J28" t="str">
            <v>No New Actions Needed</v>
          </cell>
          <cell r="L28" t="str">
            <v>Source of residual risks: Zero-days, skilled adversaries, misconfigurations, insider threats.</v>
          </cell>
        </row>
        <row r="29">
          <cell r="B29" t="str">
            <v>TRA1.24 - ERP System - Physical Access: Attackers with physical access to a backup device could steal credentials stored on the device. This might involve exploiting the backup software's security weaknesses or using hardware tools to bypass encryption and access credential information.
Network Access: If the backup system uses network-attached storage (NAS) or cloud storage, attackers might target vulnerabilities in the backup software or network protocols to access credentials to authenticate with the backup storage.</v>
          </cell>
          <cell r="D29" t="str">
            <v>WAF, Email Filtering, Vulnerability Management Program, Application Safelisting, Security Awareness Training Program, Phishing Simulations, Firewall, Endpoint Detection and Response, Intrusion Detection and Protection, Data Loss Prevention.</v>
          </cell>
          <cell r="G29" t="str">
            <v>Unlikely</v>
          </cell>
          <cell r="H29" t="str">
            <v>Major</v>
          </cell>
          <cell r="J29" t="str">
            <v>No New Actions Needed</v>
          </cell>
          <cell r="L29" t="str">
            <v>Source of residual risks: Zero-days, skilled adversaries, misconfigurations, insider threats (internal discovery).
Gap: Monitoring focused on endpoints and web traffic, lack of monitoring solution on server devices.
Potential additional control: Network segmentation.</v>
          </cell>
        </row>
        <row r="30">
          <cell r="B30" t="str">
            <v>TRA1.25 - ERP System - Backup systems are vulnerable to discovery attempts. An attacker might exploit weaknesses to learn what systems are backed up, how often, and for how long. This information aids in targeting specific systems or planning attacks against the backup process itself.</v>
          </cell>
          <cell r="D30" t="str">
            <v>WAF, Email Filtering, Vulnerability Management Program, Application Safelisting, Security Awareness Training Program, Phishing Simulations, Firewall, Endpoint Detection and Response, Intrusion Detection and Protection, Data Loss Prevention.</v>
          </cell>
          <cell r="G30" t="str">
            <v>Possible</v>
          </cell>
          <cell r="H30" t="str">
            <v>Catastrophic</v>
          </cell>
          <cell r="J30" t="str">
            <v>Mitigate the Risk</v>
          </cell>
          <cell r="L30" t="str">
            <v>Source of residual risks: Zero-day, skilled adversaries, insider threat, sensitive data on SAN.</v>
          </cell>
        </row>
        <row r="31">
          <cell r="B31" t="str">
            <v>TRA1.26 - ERP System - Backup systems hold valuable data, making them targets for collection. Attackers with access (physical or network) can steal backed-up information like financial records, personal data, or intellectual property.</v>
          </cell>
          <cell r="D31" t="str">
            <v>WAF, Email Filtering, Vulnerability Management Program, Application Safelisting, Security Awareness Training Program, Phishing Simulations, Firewall, Endpoint Detection and Response, Intrusion Detection and Protection, Data Loss Prevention.</v>
          </cell>
          <cell r="G31" t="str">
            <v>Possible</v>
          </cell>
          <cell r="H31" t="str">
            <v>Negligible</v>
          </cell>
          <cell r="J31" t="str">
            <v>No New Actions Needed</v>
          </cell>
          <cell r="L31" t="str">
            <v>Source of residual risk: Internal exfiltration, monitoring gaps.</v>
          </cell>
        </row>
        <row r="32">
          <cell r="B32" t="str">
            <v>TRA1.27 - ERP System - Backup systems are prime targets for exfiltration. Attackers with physical access could steal the media or copy data. With network access, they could exploit vulnerabilities to exfiltrate data over the network.</v>
          </cell>
          <cell r="D32" t="str">
            <v>WAF, Email Filtering, Vulnerability Management Program, Application Safelisting, Security Awareness Training Program, Phishing Simulations, Firewall, Endpoint Detection and Response, Intrusion Detection and Protection, Data Loss Prevention.</v>
          </cell>
          <cell r="G32" t="str">
            <v>Possible</v>
          </cell>
          <cell r="H32" t="str">
            <v>Minor</v>
          </cell>
          <cell r="J32" t="str">
            <v>No New Actions Needed</v>
          </cell>
          <cell r="L32" t="str">
            <v>Source of residual risks: Zero-days, insider threat, criticality of shared storage, ransomware attacks on shared storage.</v>
          </cell>
        </row>
        <row r="33">
          <cell r="B33" t="str">
            <v>TRA1.28 - ERP System - An attacker gains access to a backup system and encrypts the stored backups. This renders the backups unusable, hindering the organization's ability to recover data in case of a system outage or attack. The attacker might then demand a ransom payment to decrypt the backups.</v>
          </cell>
          <cell r="D33" t="str">
            <v>WAF, Email Filtering, Vulnerability Management Program, Application Safelisting, Security Awareness Training Program, Phishing Simulations, Firewall, Endpoint Detection and Response, Intrusion Detection and Protection, Data Loss Prevention.</v>
          </cell>
          <cell r="G33" t="str">
            <v>Unlikely</v>
          </cell>
          <cell r="H33" t="str">
            <v>Moderate</v>
          </cell>
          <cell r="J33" t="str">
            <v>No New Actions Needed</v>
          </cell>
          <cell r="L33" t="str">
            <v>Source of residual risks: Zero-days, skilled adversaries, insider threats.</v>
          </cell>
        </row>
        <row r="34">
          <cell r="B34" t="str">
            <v>TRA1.29 - ERP System - Operating systems are prime targets for reconnaissance in MITRE ATT&amp;CK. Attackers can use various tools and techniques to identify vulnerabilities, enumerate system info, discover user accounts, or find interesting files/applications to target later attacks.</v>
          </cell>
          <cell r="D34" t="str">
            <v>WAF, Email Filtering, Vulnerability Management Program, Application Safelisting, Security Awareness Training Program, Phishing Simulations, Firewall, Endpoint Detection and Response, Intrusion Detection and Protection, Data Loss Prevention.</v>
          </cell>
          <cell r="G34" t="str">
            <v>Possible</v>
          </cell>
          <cell r="H34" t="str">
            <v>Major</v>
          </cell>
          <cell r="J34" t="str">
            <v>Formally Accept the Risk</v>
          </cell>
          <cell r="L34" t="str">
            <v>Source of residual risk: Zero-days, skilled adversaries, insider threats, misconfigurations, credential storage.</v>
          </cell>
        </row>
        <row r="35">
          <cell r="B35" t="str">
            <v>TRA1.30 - ERP System - Attackers can exploit vulnerabilities in the OS or applications to abuse the OS's functionalities (scripting, scheduled tasks) or gain a foothold (malware installation, resource hijacking) for further attacks.</v>
          </cell>
          <cell r="D35" t="str">
            <v>WAF, Email Filtering, Vulnerability Management Program, Application Safelisting, Security Awareness Training Program, Phishing Simulations, Firewall, Endpoint Detection and Response, Intrusion Detection and Protection, Data Loss Prevention.</v>
          </cell>
          <cell r="G35" t="str">
            <v>Unlikely</v>
          </cell>
          <cell r="H35" t="str">
            <v>Catastrophic</v>
          </cell>
          <cell r="J35" t="str">
            <v>No New Actions Needed</v>
          </cell>
          <cell r="L35" t="str">
            <v>Source of residual risks: Zero-days, skilled adversaries, insider threats.</v>
          </cell>
        </row>
        <row r="36">
          <cell r="B36" t="str">
            <v>TRA1.31 - ERP System - Attackers use various techniques to exploit vulnerabilities (known or zero-day) in the OS or its applications to execute malicious code and gain a foothold on a system. Social engineering, password spraying, brute-forcing, and unpatched systems are all techniques attackers use to achieve this initial compromise.</v>
          </cell>
          <cell r="D36" t="str">
            <v>WAF, Email Filtering, Vulnerability Management Program, Application Safelisting, Security Awareness Training Program, Phishing Simulations, Firewall, Endpoint Detection and Response, Intrusion Detection and Protection, Data Loss Prevention.</v>
          </cell>
          <cell r="G36" t="str">
            <v>Possible</v>
          </cell>
          <cell r="H36" t="str">
            <v>Negligible</v>
          </cell>
          <cell r="J36" t="str">
            <v>No New Actions Needed</v>
          </cell>
          <cell r="L36" t="str">
            <v>Source of residual risk: Zero-days, skilled adversaries, insider threats, sensitive data in backups.</v>
          </cell>
        </row>
        <row r="37">
          <cell r="B37" t="str">
            <v>TRA1.32 - ERP System - An attacker discovers a vulnerability in a system service within the operating system. This vulnerability allows them to remotely execute arbitrary code (RCE) on the targeted machine. By exploiting this vulnerability, the attacker gains unauthorized access to the system, potentially compromising sensitive data or installing additional malware.</v>
          </cell>
          <cell r="D37" t="str">
            <v>WAF, Email Filtering, Vulnerability Management Program, Application Safelisting, Security Awareness Training Program, Phishing Simulations, Firewall, Endpoint Detection and Response, Intrusion Detection and Protection, Data Loss Prevention.</v>
          </cell>
          <cell r="G37" t="str">
            <v>Unlikely</v>
          </cell>
          <cell r="H37" t="str">
            <v>Catastrophic</v>
          </cell>
          <cell r="J37" t="str">
            <v>No New Actions Needed</v>
          </cell>
          <cell r="L37" t="str">
            <v>Source of residual risk: Ransomware, skilled attackers, insider threats, accidental misconfiguration.
Potential additional controls: Network segmentation, least privilege on backup accounts, immutable backups, monitor backup integrity.</v>
          </cell>
        </row>
        <row r="38">
          <cell r="B38" t="str">
            <v>TRA1.33 - ERP System - Malware modifies core operating system boot processes to ensure its own execution upon every system startup. This establishes persistence by giving the malware a foothold even after a system reboot, making it harder to remove and increasing its chances of evading detection.</v>
          </cell>
          <cell r="D38" t="str">
            <v>WAF, Email Filtering, Vulnerability Management Program, Application Safelisting, Security Awareness Training Program, Phishing Simulations, Firewall, Endpoint Detection and Response, Intrusion Detection and Protection, Data Loss Prevention.</v>
          </cell>
          <cell r="G38" t="str">
            <v>Possible</v>
          </cell>
          <cell r="H38" t="str">
            <v>Catastrophic</v>
          </cell>
          <cell r="J38" t="str">
            <v>Mitigate the Risk</v>
          </cell>
          <cell r="L38" t="str">
            <v>Source of residual risk: ransomware, skilled attackers, insider threats, accidental misconfiguration.
Potential additional controls: Network segmentation, least privilege on backup accounts, immutable backups, monitor backup integrity.</v>
          </cell>
        </row>
        <row r="39">
          <cell r="B39" t="str">
            <v>TRA1.34 - ERP System - An attacker exploits a vulnerability within the operating system to elevate their privileges from a standard user to an administrator. This could involve compromising a system service or kernel driver with higher permissions than the user account initially compromised. By gaining administrative privileges, the attacker can bypass security restrictions, install additional malware, or tamper with system configurations.</v>
          </cell>
          <cell r="D39" t="str">
            <v>WAF, Email Filtering, Vulnerability Management Program, Application Safelisting, Security Awareness Training Program, Phishing Simulations, Firewall, Endpoint Detection and Response, Intrusion Detection and Protection, Data Loss Prevention.</v>
          </cell>
          <cell r="G39" t="str">
            <v>Likely</v>
          </cell>
          <cell r="H39" t="str">
            <v>Moderate</v>
          </cell>
          <cell r="J39" t="str">
            <v>Formally Accept the Risk</v>
          </cell>
          <cell r="L39" t="str">
            <v>Source of residual risks: Existing controls do not mitigate against malicious external scans.
Potential additional controls: Minimize external exposures, consider using a honeypot to gather threat intelligence, build a threat intelligence program for scanning techniques, and build network traffic analysis to identify scanning or probing.</v>
          </cell>
        </row>
        <row r="40">
          <cell r="B40" t="str">
            <v>TRA1.35 - ERP System - Malware modifies operating system functions or disables security features to avoid detection by antivirus software or endpoint detection and response (EDR) tools. This could involve techniques like manipulating system calls, hiding processes, or tampering with logs to hinder analysis and obfuscate malicious activity. By employing defense evasion tactics within the operating system itself, the malware extends its lifespan and makes it harder to identify and remove.</v>
          </cell>
          <cell r="D40" t="str">
            <v>WAF, Email Filtering, Vulnerability Management Program, Application Safelisting, Security Awareness Training Program, Phishing Simulations, Firewall, Endpoint Detection and Response, Intrusion Detection and Protection, Data Loss Prevention.</v>
          </cell>
          <cell r="G40" t="str">
            <v>Unlikely</v>
          </cell>
          <cell r="H40" t="str">
            <v>Negligible</v>
          </cell>
          <cell r="J40" t="str">
            <v>No New Actions Needed</v>
          </cell>
          <cell r="L40" t="str">
            <v>Source of residual risk: A compromised endpoint can still be used for resource development, but the OS would not be the primary attack vector.</v>
          </cell>
        </row>
        <row r="41">
          <cell r="B41" t="str">
            <v>TRA1.36 - ERP System - An attacker uses the OS's built-in functionalities or existing tools to gather information about the system itself. This could involve enumerating running processes and services to identify potential vulnerabilities or software versions with known exploits, using system commands to discover available user accounts and groups for later privilege escalation attempts, and analyzing system logs to gain insights into user activity and identify any security incidents.</v>
          </cell>
          <cell r="D41" t="str">
            <v>WAF, Email Filtering, Vulnerability Management Program, Application Safelisting, Security Awareness Training Program, Phishing Simulations, Firewall, Endpoint Detection and Response, Intrusion Detection and Protection, Data Loss Prevention.</v>
          </cell>
          <cell r="G41" t="str">
            <v>Possible</v>
          </cell>
          <cell r="H41" t="str">
            <v>Minor</v>
          </cell>
          <cell r="J41" t="str">
            <v>No New Actions Needed</v>
          </cell>
          <cell r="L41" t="str">
            <v>Source of residual risk: Zero-Days, social engineering, supply chain compromise.
Potential additional controls: Hardened application configurations, MFA.</v>
          </cell>
        </row>
        <row r="42">
          <cell r="B42" t="str">
            <v>TRA1.37 - ERP System - Leveraging built-in tools: An attacker uses the OS networking functionalities to achieve lateral movement. This could involve using remote access protocols (e.g. SSH, Remote Desktop) to connect to other systems, file sharing mechanisms (e.g. SMB) to access resources on other machines, or administrative tools (e.g. PsExec, WMI) to execute commands remotely. 
Abusing OS functionalities: An attacker exploits OS vulnerabilities to achieve lateral movement. This could involve privilege escalation to gain administrative access and manipulate system configurations or worm-like propagation through the network leveraging OS vulnerabilities.</v>
          </cell>
          <cell r="D42" t="str">
            <v>WAF, Email Filtering, Vulnerability Management Program, Application Safelisting, Security Awareness Training Program, Phishing Simulations, Firewall, Endpoint Detection and Response, Intrusion Detection and Protection, Data Loss Prevention.</v>
          </cell>
          <cell r="G42" t="str">
            <v>Likely</v>
          </cell>
          <cell r="H42" t="str">
            <v>Moderate</v>
          </cell>
          <cell r="J42" t="str">
            <v>Formally Accept the Risk</v>
          </cell>
          <cell r="L42" t="str">
            <v>Source of residual risk: Living off the land, evolving evasion.
Potential additional controls: UBA, least privilege, application hardening, file integrity monitoring.</v>
          </cell>
        </row>
        <row r="43">
          <cell r="B43" t="str">
            <v>TRA1.38 - ERP System - Malware leverages the OS's functionalities to gather sensitive information from the infected machine. This could involve accessing system logs containing user activity, security events, or application logs to identify potential weaknesses or extract valuable information; using system commands or APIs to collect data such as system configuration details, hardware information, or running processes; or scraping user data stored within the OS's file system, like browser history, cached files, or application data folders.</v>
          </cell>
          <cell r="D43" t="str">
            <v>WAF, Email Filtering, Vulnerability Management Program, Application Safelisting, Security Awareness Training Program, Phishing Simulations, Firewall, Endpoint Detection and Response, Intrusion Detection and Protection, Data Loss Prevention.</v>
          </cell>
          <cell r="G43" t="str">
            <v>Likely</v>
          </cell>
          <cell r="H43" t="str">
            <v>Moderate</v>
          </cell>
          <cell r="J43" t="str">
            <v>Formally Accept the Risk</v>
          </cell>
          <cell r="L43" t="str">
            <v>Source of residual risk: Existing controls are focused on protecting against attacks. They are less effective against established persistence.
Potential additional controls: File integrity monitoring, proactive threat hunting, UBA, reduce local admin rights.</v>
          </cell>
        </row>
        <row r="44">
          <cell r="B44" t="str">
            <v>TRA1.39 - ERP System - Compromising the operating system grants attackers a powerful foothold, potentially leading to data loss, system disruption, lateral movement, and persistent control. Since the OS forms the foundation of the system, successful exploitation can have significant impacts.</v>
          </cell>
          <cell r="D44" t="str">
            <v>WAF, Email Filtering, Vulnerability Management Program, Application Safelisting, Security Awareness Training Program, Phishing Simulations, Firewall, Endpoint Detection and Response, Intrusion Detection and Protection, Data Loss Prevention.</v>
          </cell>
          <cell r="G44" t="str">
            <v>Possible</v>
          </cell>
          <cell r="H44" t="str">
            <v>Major</v>
          </cell>
          <cell r="J44" t="str">
            <v>Formally Accept the Risk</v>
          </cell>
          <cell r="L44" t="str">
            <v>Source of residual risk: Social engineering gains.
Potential additional controls: Least privilege, application hardening, MFA.</v>
          </cell>
        </row>
        <row r="45">
          <cell r="B45" t="str">
            <v>TRA1.40 - ERP System - An attacker launches a malware program that infects a user's machine. This malware scans for and gathers information about installed applications, including names, versions, and configurations. This reconnaissance activity helps the attacker identify vulnerabilities within those applications to exploit later for a more significant attack.</v>
          </cell>
          <cell r="D45" t="str">
            <v>WAF, Email Filtering, Vulnerability Management Program, Application Safelisting, Security Awareness Training Program, Phishing Simulations, Firewall, Endpoint Detection and Response, Intrusion Detection and Protection, Data Loss Prevention.</v>
          </cell>
          <cell r="G45" t="str">
            <v>Likely</v>
          </cell>
          <cell r="H45" t="str">
            <v>Moderate</v>
          </cell>
          <cell r="J45" t="str">
            <v>Formally Accept the Risk</v>
          </cell>
          <cell r="L45" t="str">
            <v>Source of residual risk: Skilled attackers, zero-days, social engineering.
Potential additional controls: File integrity monitoring, assume compromise, and threat intelligence focused on evasion.</v>
          </cell>
        </row>
        <row r="46">
          <cell r="B46" t="str">
            <v>TRA1.41 - ERP System - An attacker sends a phishing email containing a malicious link. Clicking the link downloads a dropper application (designed to deploy further malware) disguised as a legitimate productivity tool. Once installed, the dropper infects the system, establishing an initial foothold for the attacker.
In this scenario, the Applications component (the downloaded dropper) acts as the initial access vector for the attacker.</v>
          </cell>
          <cell r="D46" t="str">
            <v>WAF, Email Filtering, Vulnerability Management Program, Application Safelisting, Security Awareness Training Program, Phishing Simulations, Firewall, Endpoint Detection and Response, Intrusion Detection and Protection, Data Loss Prevention.</v>
          </cell>
          <cell r="G46" t="str">
            <v>Likely</v>
          </cell>
          <cell r="H46" t="str">
            <v>Negligible</v>
          </cell>
          <cell r="J46" t="str">
            <v>No New Actions Needed</v>
          </cell>
          <cell r="L46" t="str">
            <v>Source of residual risk: External exposures, lack of network traffic analysis, lack of least privilege.</v>
          </cell>
        </row>
        <row r="47">
          <cell r="B47" t="str">
            <v>TRA1.42 - ERP System - A vulnerability exists in a popular web application. An attacker discovers this vulnerability and crafts a specially designed exploit. When a user opens the application, the attacker's code executes within the application itself, potentially allowing unauthorized actions or data access.
In this scenario, the attacker directly targets the application (the Execution component) to achieve their malicious goals.</v>
          </cell>
          <cell r="D47" t="str">
            <v>WAF, Email Filtering, Vulnerability Management Program, Application Safelisting, Security Awareness Training Program, Phishing Simulations, Firewall, Endpoint Detection and Response, Intrusion Detection and Protection, Data Loss Prevention.</v>
          </cell>
          <cell r="G47" t="str">
            <v>Possible</v>
          </cell>
          <cell r="H47" t="str">
            <v>Minor</v>
          </cell>
          <cell r="J47" t="str">
            <v>No New Actions Needed</v>
          </cell>
          <cell r="L47" t="str">
            <v>Source of residual risk: Existing controls protect against incursion but don't prevent lateral movement, such as living off the land.
Potential additional controls: Network segmentation, least privilege, network monitoring.</v>
          </cell>
        </row>
        <row r="48">
          <cell r="B48" t="str">
            <v>TRA1.43 - ERP System - A malicious actor infects a system with malware disguised as a legitimate application. This malware modifies the system's startup scripts to automatically launch itself whenever the computer restarts. By embedding itself within the application functionality, the malware persists on the system and maintains the attacker's access.
In this scenario, the malware leverages the Applications component (itself) to establish persistence by manipulating startup configurations. The application itself becomes the tool for persistence.</v>
          </cell>
          <cell r="D48" t="str">
            <v>WAF, Email Filtering, Vulnerability Management Program, Application Safelisting, Security Awareness Training Program, Phishing Simulations, Firewall, Endpoint Detection and Response, Intrusion Detection and Protection, Data Loss Prevention.</v>
          </cell>
          <cell r="G48" t="str">
            <v>Possible</v>
          </cell>
          <cell r="H48" t="str">
            <v>Moderate</v>
          </cell>
          <cell r="J48" t="str">
            <v>No New Actions Needed</v>
          </cell>
          <cell r="L48" t="str">
            <v>Source of residual risk: Sensitive data, evasion tactics, and existing controls have a pre-compromise focus.
Potential additional controls: File integrity monitoring, least privilege.</v>
          </cell>
        </row>
        <row r="49">
          <cell r="B49" t="str">
            <v>TRA1.44 - ERP System - An attacker discovers a vulnerability in a software application with elevated privileges. By exploiting this vulnerability, the attacker can potentially execute arbitrary code within the application context. This code could then leverage the application's inherent permissions to perform actions beyond its normal function, such as accessing restricted files or modifying system settings. Essentially, the attacker uses the application itself as a stepping stone to gain higher privileges within the system.</v>
          </cell>
          <cell r="D49" t="str">
            <v>WAF, Email Filtering, Vulnerability Management Program, Application Safelisting, Security Awareness Training Program, Phishing Simulations, Firewall, Endpoint Detection and Response, Intrusion Detection and Protection, Data Loss Prevention.</v>
          </cell>
          <cell r="G49" t="str">
            <v>Possible</v>
          </cell>
          <cell r="H49" t="str">
            <v>Major</v>
          </cell>
          <cell r="J49" t="str">
            <v>Formally Accept the Risk</v>
          </cell>
          <cell r="L49" t="str">
            <v>Source of residual risk: Ransomware, skilled attackers, zero-days.
Potential additional controls: Offline backups, incident response planning, least privilege.</v>
          </cell>
        </row>
        <row r="50">
          <cell r="B50" t="str">
            <v>TRA1.45 - ERP System - An attacker infects a system with malware that hides within a legitimate application process. The malware injects its code into the application and manipulates its behavior to make it appear legitimate to security software. This obfuscation technique helps the malware evade detection and continue its malicious activity.
In this instance, the malware uses the application to camouflage itself and avoid standard security measures. The application itself becomes a tool for defense evasion.</v>
          </cell>
          <cell r="D50" t="str">
            <v>WAF, Email Filtering, Vulnerability Management Program, Application Safelisting, Security Awareness Training Program, Phishing Simulations, Firewall, Endpoint Detection and Response, Intrusion Detection and Protection, Data Loss Prevention.</v>
          </cell>
          <cell r="G50" t="str">
            <v>Likely</v>
          </cell>
          <cell r="H50" t="str">
            <v>Moderate</v>
          </cell>
          <cell r="J50" t="str">
            <v>Formally Accept the Risk</v>
          </cell>
          <cell r="L50" t="str">
            <v>Source of residual risk: easy to carry out.
Potential additional controls: Application hardening, network traffic analysis, threat intelligence.</v>
          </cell>
        </row>
        <row r="51">
          <cell r="B51" t="str">
            <v>TRA1.46 - ERP System - A malicious application prompts users for login credentials disguised as a standard login window. This application might mimic a legitimate program or exploit a vulnerability within the user interface to steal the entered credentials.
In this case, the application acts as a tool to trick users into revealing their credentials, which can then be misused by the attacker.</v>
          </cell>
          <cell r="D51" t="str">
            <v>WAF, Email Filtering, Vulnerability Management Program, Application Safelisting, Security Awareness Training Program, Phishing Simulations, Firewall, Endpoint Detection and Response, Intrusion Detection and Protection, Data Loss Prevention.</v>
          </cell>
          <cell r="G51" t="str">
            <v>Possible</v>
          </cell>
          <cell r="H51" t="str">
            <v>Negligible</v>
          </cell>
          <cell r="J51" t="str">
            <v>No New Actions Needed</v>
          </cell>
          <cell r="L51" t="str">
            <v>Source of residual risk: Social engineering, supply chain attack, zero-day.
Potential additional gaps: Secure application development, application hardening, supply chain risk management.</v>
          </cell>
        </row>
        <row r="52">
          <cell r="B52" t="str">
            <v>TRA1.47 - ERP System - A malicious application is installed on a user's machine. This application logs keystrokes or monitors user activity within the application itself. The collected data, which could include usernames, passwords, or other sensitive information, is then sent back to the attacker.
In this instance, the application (the Applications component) acts as a tool for data collection by capturing information directly from user interaction within the application.</v>
          </cell>
          <cell r="D52" t="str">
            <v>WAF, Email Filtering, Vulnerability Management Program, Application Safelisting, Security Awareness Training Program, Phishing Simulations, Firewall, Endpoint Detection and Response, Intrusion Detection and Protection, Data Loss Prevention.</v>
          </cell>
          <cell r="G52" t="str">
            <v>Likely</v>
          </cell>
          <cell r="H52" t="str">
            <v>Moderate</v>
          </cell>
          <cell r="J52" t="str">
            <v>Formally Accept the Risk</v>
          </cell>
          <cell r="L52" t="str">
            <v>Source of residual risk: Living off the land, evasion.
Potential additional controls: Behavioral detection, least privilege, application hardening, microsegmentation.</v>
          </cell>
        </row>
        <row r="53">
          <cell r="B53" t="str">
            <v>TRA1.48 - ERP System - An attacker compromises a legitimate-looking application by modifying it to establish a covert communication channel with a remote server under their control. This allows the attacker to send commands to the application for malicious purposes like downloading additional malware, stealing data, or launching attacks on other systems.
The compromised application is a tool for the attacker to maintain C2 by receiving instructions and potentially exfiltrating data. The application itself facilitates communications between the attacker and the infected system.</v>
          </cell>
          <cell r="D53" t="str">
            <v>WAF, Email Filtering, Vulnerability Management Program, Application Safelisting, Security Awareness Training Program, Phishing Simulations, Firewall, Endpoint Detection and Response, Intrusion Detection and Protection, Data Loss Prevention.</v>
          </cell>
          <cell r="G53" t="str">
            <v>Likely</v>
          </cell>
          <cell r="H53" t="str">
            <v>Moderate</v>
          </cell>
          <cell r="J53" t="str">
            <v>Formally Accept the Risk</v>
          </cell>
          <cell r="L53" t="str">
            <v xml:space="preserve">Source of residual risk: easy to carry out.
Potential additional controls: Application hardening, file integrity monitoring, behavioral detection. </v>
          </cell>
        </row>
        <row r="54">
          <cell r="B54" t="str">
            <v>TRA1.49 - ERP System - A malicious application is installed on a system. This application steals sensitive data like credit card numbers or documents stored locally. The application then transmits this stolen data to the attacker's server over the internet.
In this instance, the application (the Applications component) acts as the tool for exfiltration by directly transmitting sensitive information collected from the system. The application itself facilitates the unauthorized transfer of data.</v>
          </cell>
          <cell r="D54" t="str">
            <v>WAF, Email Filtering, Vulnerability Management Program, Application Safelisting, Security Awareness Training Program, Phishing Simulations, Firewall, Endpoint Detection and Response, Intrusion Detection and Protection, Data Loss Prevention.</v>
          </cell>
          <cell r="G54" t="str">
            <v>Possible</v>
          </cell>
          <cell r="H54" t="str">
            <v>Major</v>
          </cell>
          <cell r="J54" t="str">
            <v>Formally Accept the Risk</v>
          </cell>
          <cell r="L54" t="str">
            <v>Potential additional control: Least privilege, application hardening, code review and security testing.</v>
          </cell>
        </row>
        <row r="55">
          <cell r="B55" t="str">
            <v>TRA1.50 - ERP System - A popular application is exploited by an attacker to overload a system with requests. This distributed denial-of-service (DDoS) attack disrupts normal functionality and prevents legitimate users from accessing the application.
The application itself becomes a tool for the attacker to manipulate system resources and hinder its intended use.</v>
          </cell>
          <cell r="D55" t="str">
            <v>WAF, Email Filtering, Vulnerability Management Program, Application Safelisting, Security Awareness Training Program, Phishing Simulations, Firewall, Endpoint Detection and Response, Intrusion Detection and Protection, Data Loss Prevention.</v>
          </cell>
          <cell r="G55" t="str">
            <v>Likely</v>
          </cell>
          <cell r="H55" t="str">
            <v>Moderate</v>
          </cell>
          <cell r="J55" t="str">
            <v>Formally Accept the Risk</v>
          </cell>
          <cell r="L55" t="str">
            <v>Source of residual risk: Zero-days, living off the land.
Potential additional controls: Network monitoring</v>
          </cell>
        </row>
        <row r="56">
          <cell r="B56" t="str">
            <v>TRA1.51 - ERP System - An attacker scans a company's web applications to identify vulnerabilities. The attacker might use automated tools or manual techniques to probe different functionalities of the web application. This information gathering about the web application (e.g. version, functionalities, security measures) helps the attacker plan a more targeted attack later.
In this scenario, the reconnaissance effort directly targets the web-based application to gather information for exploitation.</v>
          </cell>
          <cell r="D56" t="str">
            <v>WAF, Email Filtering, Vulnerability Management Program, Application Safelisting, Security Awareness Training Program, Phishing Simulations, Firewall, Endpoint Detection and Response, Intrusion Detection and Protection, Data Loss Prevention.</v>
          </cell>
          <cell r="G56" t="str">
            <v>Possible</v>
          </cell>
          <cell r="H56" t="str">
            <v>Minor</v>
          </cell>
          <cell r="J56" t="str">
            <v>No New Actions Needed</v>
          </cell>
          <cell r="L56" t="str">
            <v>Source of residual risk: Stored credentials, malware (keyloggers), weak password practices.
Potential additional controls: MFA, secure credential storage, least privilege</v>
          </cell>
        </row>
        <row r="57">
          <cell r="B57" t="str">
            <v xml:space="preserve">TRA1.52 - ERP System - An attacker sends a phishing email containing a malicious link. Clicking the link opens a web application under attacker control. This web application exploits vulnerabilities in the user's browser or the web application itself to install malware or steal credentials.
In this scenario, the malicious web application acts as the attacker's initial access vector. </v>
          </cell>
          <cell r="D57" t="str">
            <v>WAF, Email Filtering, Vulnerability Management Program, Application Safelisting, Security Awareness Training Program, Phishing Simulations, Firewall, Endpoint Detection and Response, Intrusion Detection and Protection, Data Loss Prevention.</v>
          </cell>
          <cell r="G57" t="str">
            <v>Possible</v>
          </cell>
          <cell r="H57" t="str">
            <v>Minor</v>
          </cell>
          <cell r="J57" t="str">
            <v>No New Actions Needed</v>
          </cell>
          <cell r="L57" t="str">
            <v>Source of residual risk: Existing controls have a pre-compromise focus.
Potential additional controls: File integrity monitoring, least privilege.</v>
          </cell>
        </row>
        <row r="58">
          <cell r="B58" t="str">
            <v xml:space="preserve">TRA1.53 - ERP System - A malicious actor discovers a vulnerability in a popular web application. They craft a specially designed script (e.g. cross-site scripting [XSS]) that exploits this vulnerability. When a user visits a webpage infected with this script, the malicious code executes within the web browser context. This code could then steal user data, redirect the user to malicious sites, or perform other unauthorized actions.
In this scenario, the attacker targets the vulnerability within the web application to execute their malicious code and achieve their goals. </v>
          </cell>
          <cell r="D58" t="str">
            <v>WAF, Email Filtering, Vulnerability Management Program, Application Safelisting, Security Awareness Training Program, Phishing Simulations, Firewall, Endpoint Detection and Response, Intrusion Detection and Protection, Data Loss Prevention.</v>
          </cell>
          <cell r="G58" t="str">
            <v>Possible</v>
          </cell>
          <cell r="H58" t="str">
            <v>Moderate</v>
          </cell>
          <cell r="J58" t="str">
            <v>No New Actions Needed</v>
          </cell>
          <cell r="L58" t="str">
            <v>Source of residual risk: Living off the land, evasion.
Potential additional controls: Behavioral detection, egress filtering, traffic analysis.</v>
          </cell>
        </row>
        <row r="59">
          <cell r="B59" t="str">
            <v>TRA1.54 - ERP System - The Persistence tactic partially applies to Web-based applications in MITRE ATT&amp;CK. While they can't directly achieve persistence as they could with malware, attackers can leverage techniques like malicious cookies to maintain a presence across sessions. Web applications can also be a launchpad for delivering persistent malware.</v>
          </cell>
          <cell r="D59" t="str">
            <v>WAF, Email Filtering, Vulnerability Management Program, Application Safelisting, Security Awareness Training Program, Phishing Simulations, Firewall, Endpoint Detection and Response, Intrusion Detection and Protection, Data Loss Prevention.</v>
          </cell>
          <cell r="G59" t="str">
            <v>Possible</v>
          </cell>
          <cell r="H59" t="str">
            <v>Major</v>
          </cell>
          <cell r="J59" t="str">
            <v>Formally Accept the Risk</v>
          </cell>
          <cell r="L59" t="str">
            <v>Source of residual risk: Living off the land, evasion.
Potential additional controls: Behavioral detection, egress filtering, traffic analysis.</v>
          </cell>
        </row>
        <row r="60">
          <cell r="B60" t="str">
            <v>TRA1.55 - ERP System - An attacker discovers a vulnerability in a web application that allows them to bypass security controls. This vulnerability might be a privilege escalation flaw that grants unauthorized access to sensitive resources or functionalities on the web server. By exploiting this vulnerability within the web application, the attacker can potentially elevate their privileges from a low-level user to an administrator on the web server.</v>
          </cell>
          <cell r="D60" t="str">
            <v>WAF, Email Filtering, Vulnerability Management Program, Application Safelisting, Security Awareness Training Program, Phishing Simulations, Firewall, Endpoint Detection and Response, Intrusion Detection and Protection, Data Loss Prevention.</v>
          </cell>
          <cell r="G60" t="str">
            <v>Possible</v>
          </cell>
          <cell r="H60" t="str">
            <v>Catastrophic</v>
          </cell>
          <cell r="J60" t="str">
            <v>Mitigate the Risk</v>
          </cell>
          <cell r="L60" t="str">
            <v>Source of residual risk: Ransomware, skilled attackers, zero-days.
Potential additional controls: Offline backups, incident response planning, least privilege.</v>
          </cell>
        </row>
        <row r="61">
          <cell r="B61" t="str">
            <v>TRA1.56 - ERP System - An attacker develops a web-based exploit that uses obfuscation techniques to bypass security measures. This exploit might be a malicious script disguised as legitimate code to avoid detection by web application firewalls or intrusion detection systems (IDS).</v>
          </cell>
          <cell r="D61" t="str">
            <v>WAF, Email Filtering, Vulnerability Management Program, Application Safelisting, Security Awareness Training Program, Phishing Simulations, Firewall, Endpoint Detection and Response, Intrusion Detection and Protection, Data Loss Prevention.</v>
          </cell>
          <cell r="G61" t="str">
            <v>Likely</v>
          </cell>
          <cell r="H61" t="str">
            <v>Negligible</v>
          </cell>
          <cell r="J61" t="str">
            <v>No New Actions Needed</v>
          </cell>
          <cell r="L61" t="str">
            <v>Source of residual risk: External exposures.
Potential additional controls: Web traffic analysis associated with scanning or probing patterns, honeypot to gather intelligence on attackers.</v>
          </cell>
        </row>
        <row r="62">
          <cell r="B62" t="str">
            <v>TRA1.57 - ERP System - A malicious actor designs a phishing website that mimics a legitimate login page. This website is cleverly crafted to resemble a trusted web application (e.g. bank login). When a user enters their credentials on the fake website, they are unknowingly sent to the attacker.</v>
          </cell>
          <cell r="D62" t="str">
            <v>WAF, Email Filtering, Vulnerability Management Program, Application Safelisting, Security Awareness Training Program, Phishing Simulations, Firewall, Endpoint Detection and Response, Intrusion Detection and Protection, Data Loss Prevention.</v>
          </cell>
          <cell r="G62" t="str">
            <v>Likely</v>
          </cell>
          <cell r="H62" t="str">
            <v>Minor</v>
          </cell>
          <cell r="J62" t="str">
            <v>No New Actions Needed</v>
          </cell>
          <cell r="L62" t="str">
            <v>Source of residual risk: Social engineering, third-party risk, wide attack surface.
Potential additional controls: Secure web app development, input validation and sanitization, monitoring and anomaly detection.</v>
          </cell>
        </row>
        <row r="63">
          <cell r="B63" t="str">
            <v>TRA1.58 - ERP System - An attacker uses a web application vulnerability scanner to automate the process of discovering web applications running on a specific network. This scanner probes different ports and analyzes responses to identify active web applications. The attacker can then use this information to target those discovered web applications for further exploitation attempts.</v>
          </cell>
          <cell r="D63" t="str">
            <v>WAF, Email Filtering, Vulnerability Management Program, Application Safelisting, Security Awareness Training Program, Phishing Simulations, Firewall, Endpoint Detection and Response, Intrusion Detection and Protection, Data Loss Prevention.</v>
          </cell>
          <cell r="G63" t="str">
            <v>Likely</v>
          </cell>
          <cell r="H63" t="str">
            <v>Moderate</v>
          </cell>
          <cell r="J63" t="str">
            <v>Formally Accept the Risk</v>
          </cell>
          <cell r="L63" t="str">
            <v>Source of residual risks: Multiple attack paths, server-side vulnerabilities, evolving evasion.
Potential additional controls: Web application-specific detection, input validation, and sanitization; least privilege; continuous monitoring.</v>
          </cell>
        </row>
        <row r="64">
          <cell r="B64" t="str">
            <v>TRA1.59 - ERP System - A malicious advertising script is embedded within a legitimate website (the Web-based applications component). This script tracks user activity on the website, including browsing history, search queries, and even keystrokes. The collected data is then sent back to the attacker for profiling user behavior, potentially for targeted advertising or even launching phishing attacks.</v>
          </cell>
          <cell r="D64" t="str">
            <v>WAF, Email Filtering, Vulnerability Management Program, Application Safelisting, Security Awareness Training Program, Phishing Simulations, Firewall, Endpoint Detection and Response, Intrusion Detection and Protection, Data Loss Prevention.</v>
          </cell>
          <cell r="G64" t="str">
            <v>Likely</v>
          </cell>
          <cell r="H64" t="str">
            <v>Moderate</v>
          </cell>
          <cell r="J64" t="str">
            <v>Formally Accept the Risk</v>
          </cell>
          <cell r="L64" t="str">
            <v>Source of residual risk: Ease of techniques, evasiveness.
Potential additional controls: File integrity monitoring, proactive threat hunting, code review, web server hardening.</v>
          </cell>
        </row>
        <row r="65">
          <cell r="B65" t="str">
            <v xml:space="preserve">TRA1.60 - ERP System - A compromised web application can be used as a C2 server. An attacker might inject malicious code that allows them to communicate with other infected devices and issue commands remotely. This scenario is less common but can be used for specific purposes like controlling a network of hacked routers or launching coordinated attacks. 
More commonly, web-based applications are used as an initial access vector or an exploitation tool to gain a foothold on a system. Once the attacker has initial access, they might deploy a separate C2 mechanism. </v>
          </cell>
          <cell r="D65" t="str">
            <v>WAF, Email Filtering, Vulnerability Management Program, Application Safelisting, Security Awareness Training Program, Phishing Simulations, Firewall, Endpoint Detection and Response, Intrusion Detection and Protection, Data Loss Prevention.</v>
          </cell>
          <cell r="G65" t="str">
            <v>Possible</v>
          </cell>
          <cell r="H65" t="str">
            <v>Moderate</v>
          </cell>
          <cell r="J65" t="str">
            <v>No New Actions Needed</v>
          </cell>
          <cell r="L65" t="str">
            <v>Source of residual risk: Web application complexity, vulnerability management, shared resources.
Potential additional controls: Least privilege, web application hardening, secure coding practices.</v>
          </cell>
        </row>
        <row r="66">
          <cell r="B66" t="str">
            <v>TRA1.61 - ERP System - The ERP website is compromised by an attacker. The attacker injects malicious code into the web application that steals credit card information entered during the checkout process. This stolen data is then transmitted to the attacker's server over the internet.</v>
          </cell>
          <cell r="D66" t="str">
            <v>WAF, Email Filtering, Vulnerability Management Program, Application Safelisting, Security Awareness Training Program, Phishing Simulations, Firewall, Endpoint Detection and Response, Intrusion Detection and Protection, Data Loss Prevention.</v>
          </cell>
          <cell r="G66" t="str">
            <v>Likely</v>
          </cell>
          <cell r="H66" t="str">
            <v>Minor</v>
          </cell>
          <cell r="J66" t="str">
            <v>No New Actions Needed</v>
          </cell>
          <cell r="L66" t="str">
            <v>Source of residual risk: Skilled attackers, zero-days, living off the land, tool development.
Potential additional control: assume compromise, layered detection, threat hunting, threat intelligence.</v>
          </cell>
        </row>
        <row r="67">
          <cell r="B67" t="str">
            <v>TRA1.62 - ERP System - Denial of Service: A web application is bombarded with requests from multiple sources (perhaps through a botnet) in a coordinated attack. This overwhelming traffic surge disrupts normal functionality and prevents legitimate users from accessing the web application.
Data Breach: An attacker discovers a vulnerability in a web application that allows them to steal user or sensitive data. The attacker might exploit a vulnerability in the web application itself or inject malicious scripts to gather this sensitive information.</v>
          </cell>
          <cell r="D67" t="str">
            <v>WAF, Email Filtering, Vulnerability Management Program, Application Safelisting, Security Awareness Training Program, Phishing Simulations, Firewall, Endpoint Detection and Response, Intrusion Detection and Protection, Data Loss Prevention.</v>
          </cell>
          <cell r="G67" t="str">
            <v>Possible</v>
          </cell>
          <cell r="H67" t="str">
            <v>Minor</v>
          </cell>
          <cell r="J67" t="str">
            <v>No New Actions Needed</v>
          </cell>
          <cell r="L67" t="str">
            <v>Source of residual risk: Web application credential storage, keylogger, weak password practices.
Potential additional controls: Secure credential storage, MFA, input validation, least privilege.</v>
          </cell>
        </row>
        <row r="68">
          <cell r="B68" t="str">
            <v>TRA1.63 - ERP System - An attacker targets a system administrator's workstation. They launch a malware program that monitors and logs keystrokes or running processes. This malware specifically targets applications or functionalities related to system management tools. By gathering information about the types of management tools used and how they are configured, the attacker can identify potential weaknesses to exploit later.</v>
          </cell>
          <cell r="D68" t="str">
            <v>WAF, Email Filtering, Vulnerability Management Program, Application Safelisting, Security Awareness Training Program, Phishing Simulations, Firewall, Endpoint Detection and Response, Intrusion Detection and Protection, Data Loss Prevention.</v>
          </cell>
          <cell r="G68" t="str">
            <v>Possible</v>
          </cell>
          <cell r="H68" t="str">
            <v>Minor</v>
          </cell>
          <cell r="J68" t="str">
            <v>No New Actions Needed</v>
          </cell>
          <cell r="L68" t="str">
            <v>Source of residual risk: Existing controls focus on pre-compromise with little post-compromise focus, ease of basic techniques, opportunities on servers.
Potential additional controls: Network traffic analysis, reduce external exposures, use a honeypot, implement least privilege.</v>
          </cell>
        </row>
        <row r="69">
          <cell r="B69" t="str">
            <v>TRA1.64 - ERP System - An attacker gains initial access to a system. They discover a legitimate management tool with functionalities that could be misused for privilege escalation or lateral movement. The attacker then explores ways to exploit or abuse this tool's functionalities to achieve their goals. This could involve techniques like manipulating configurations, chaining functionalities, or even exploiting vulnerabilities within the management tool itself.</v>
          </cell>
          <cell r="D69" t="str">
            <v>WAF, Email Filtering, Vulnerability Management Program, Application Safelisting, Security Awareness Training Program, Phishing Simulations, Firewall, Endpoint Detection and Response, Intrusion Detection and Protection, Data Loss Prevention.</v>
          </cell>
          <cell r="G69" t="str">
            <v>Possible</v>
          </cell>
          <cell r="H69" t="str">
            <v>Moderate</v>
          </cell>
          <cell r="J69" t="str">
            <v>No New Actions Needed</v>
          </cell>
          <cell r="L69" t="str">
            <v>Source of residual risk: Existing controls focus on pre-compromise with little post-compromise focus.
Potential additional controls: File integrity monitoring, least privilege.</v>
          </cell>
        </row>
        <row r="70">
          <cell r="B70" t="str">
            <v>TRA1.65 - ERP System - An attacker gains access to a system with a legitimate remote management tool installed. This tool allows administrators to execute commands on remote machines. The attacker exploits a vulnerability within the remote management tool itself or compromises the administrator's credentials to gain access. Once in control, the attacker can execute arbitrary commands on other systems through the compromised management tool, potentially granting unauthorized access or control over critical systems.</v>
          </cell>
          <cell r="D70" t="str">
            <v>WAF, Email Filtering, Vulnerability Management Program, Application Safelisting, Security Awareness Training Program, Phishing Simulations, Firewall, Endpoint Detection and Response, Intrusion Detection and Protection, Data Loss Prevention.</v>
          </cell>
          <cell r="G70" t="str">
            <v>Possible</v>
          </cell>
          <cell r="H70" t="str">
            <v>Moderate</v>
          </cell>
          <cell r="J70" t="str">
            <v>No New Actions Needed</v>
          </cell>
          <cell r="L70" t="str">
            <v>Source of residual risk: Web applications often communicate over the network, living off the land, evasion tactics.
Potential additional controls: Egress filtering, traffic analysis, behavioral detection, threat hunting.</v>
          </cell>
        </row>
        <row r="71">
          <cell r="B71" t="str">
            <v xml:space="preserve">TRA1.66 - ERP System - Attackers can exploit vulnerabilities or misconfigurations in legitimate management tools to create persistence. For instance, an attacker might access a remote management tool to modify system configurations. They could then embed a malicious script or schedule a task that grants them persistent remote access. An attacker could also exploit a vulnerability within a management tool to gain access and escalate privileges. Once they have a higher privilege level, they can deploy more traditional persistence mechanisms like creating hidden user accounts or modifying startup scripts. </v>
          </cell>
          <cell r="D71" t="str">
            <v>WAF, Email Filtering, Vulnerability Management Program, Application Safelisting, Security Awareness Training Program, Phishing Simulations, Firewall, Endpoint Detection and Response, Intrusion Detection and Protection, Data Loss Prevention.</v>
          </cell>
          <cell r="G71" t="str">
            <v>Possible</v>
          </cell>
          <cell r="H71" t="str">
            <v>Major</v>
          </cell>
          <cell r="J71" t="str">
            <v>Formally Accept the Risk</v>
          </cell>
          <cell r="L71" t="str">
            <v>Source of residual risk: Data access, evasion tactics, living off the land.
Potential additional controls: Egress filtering, traffic analysis, CASB, user behavior analytics.</v>
          </cell>
        </row>
        <row r="72">
          <cell r="B72" t="str">
            <v>TRA1.67 - ERP System - An attacker discovers a vulnerability within a system management tool that allows them to bypass security controls or elevate privileges. This vulnerability might be a flaw that grants unauthorized access to sensitive functionalities or resources on the system. By exploiting this vulnerability within the management tools, the attacker can potentially escalate their privileges from a standard user to an administrator, gaining full control over the system.</v>
          </cell>
          <cell r="D72" t="str">
            <v>WAF, Email Filtering, Vulnerability Management Program, Application Safelisting, Security Awareness Training Program, Phishing Simulations, Firewall, Endpoint Detection and Response, Intrusion Detection and Protection, Data Loss Prevention.</v>
          </cell>
          <cell r="G72" t="str">
            <v>Possible</v>
          </cell>
          <cell r="H72" t="str">
            <v>Catastrophic</v>
          </cell>
          <cell r="J72" t="str">
            <v>Mitigate the Risk</v>
          </cell>
          <cell r="L72" t="str">
            <v>Source of residual risk: Ransomware, skilled attackers, zero-days.
Potential additional controls: Robust backups, incident response planning, least privilege.</v>
          </cell>
        </row>
        <row r="73">
          <cell r="B73" t="str">
            <v>TRA1.68 - ERP System - An attacker gains access to a system with a legitimate management tool. This tool offers functionalities that administrators use for system monitoring and auditing. The attacker modifies the configurations within the management tool to disable security logs or manipulate monitoring tools. These actions make it harder for defenders to detect suspicious activity or identify the attacker's presence within the system.</v>
          </cell>
          <cell r="D73" t="str">
            <v>WAF, Email Filtering, Vulnerability Management Program, Application Safelisting, Security Awareness Training Program, Phishing Simulations, Firewall, Endpoint Detection and Response, Intrusion Detection and Protection, Data Loss Prevention.</v>
          </cell>
          <cell r="G73" t="str">
            <v>Likely</v>
          </cell>
          <cell r="H73" t="str">
            <v>Major</v>
          </cell>
          <cell r="J73" t="str">
            <v>Mitigate the Risk</v>
          </cell>
          <cell r="L73" t="str">
            <v>Source of residual risk: High-value targets, ease of basic techniques, valuable intelligence, skilled attackers.
Potential additional controls: Minimize exposure, threat intelligence, network traffic analysis, honeypots.</v>
          </cell>
        </row>
        <row r="74">
          <cell r="B74" t="str">
            <v>TRA1.69 - ERP System - An attacker discovers a vulnerability in a remote management tool. This vulnerability allows the attacker to steal credentials stored within the tool itself. These credentials could be for administrator accounts or service accounts used by the management tool to perform tasks on remote systems. By exploiting this vulnerability in the management tools, the attacker gains access to privileged credentials that can be used to move laterally within the network or escalate privileges on other systems.</v>
          </cell>
          <cell r="D74" t="str">
            <v>WAF, Email Filtering, Vulnerability Management Program, Application Safelisting, Security Awareness Training Program, Phishing Simulations, Firewall, Endpoint Detection and Response, Intrusion Detection and Protection, Data Loss Prevention.</v>
          </cell>
          <cell r="G74" t="str">
            <v>Possible</v>
          </cell>
          <cell r="H74" t="str">
            <v>Major</v>
          </cell>
          <cell r="J74" t="str">
            <v>Formally Accept the Risk</v>
          </cell>
          <cell r="L74" t="str">
            <v>Source of residual risk: Targeted attack.
Potential additional controls: Threat intelligence, focus on compromise to develop detection approaches.</v>
          </cell>
        </row>
        <row r="75">
          <cell r="B75" t="str">
            <v>TRA1.70 - ERP System - Management tools are designed to manage and monitor systems, providing discovery capabilities to learn about the system's resources and configurations. An attacker would gather some information through the tool's functionalities but not beyond what the tool is designed to reveal.
An attacker might exploit a vulnerability within a management tool that grants them access to functionalities beyond intended use. The attacker could then leverage these to scan the network for additional systems, identify vulnerabilities in other systems, or enumerate user accounts.</v>
          </cell>
          <cell r="D75" t="str">
            <v>WAF, Email Filtering, Vulnerability Management Program, Application Safelisting, Security Awareness Training Program, Phishing Simulations, Firewall, Endpoint Detection and Response, Intrusion Detection and Protection, Data Loss Prevention.</v>
          </cell>
          <cell r="G75" t="str">
            <v>Likely</v>
          </cell>
          <cell r="H75" t="str">
            <v>Major</v>
          </cell>
          <cell r="J75" t="str">
            <v>Mitigate the Risk</v>
          </cell>
          <cell r="L75" t="str">
            <v>Source of residual risk: High-value target, multiple attack paths, living off the land.
Potential additional controls: Strict access controls, least privilege, activity monitoring, behavioral detection.</v>
          </cell>
        </row>
        <row r="76">
          <cell r="B76" t="str">
            <v>TRA1.71 - ERP System - An attacker compromises a system administrator's workstation and gains access to legitimate remote management tools. These tools allow privileged access and control over other systems on the network. The attacker leverages these management tools to perform lateral movement by connecting to other systems, escalating privileges (if necessary), and potentially installing additional tools or malware to establish footholds on those systems.</v>
          </cell>
          <cell r="D76" t="str">
            <v>WAF, Email Filtering, Vulnerability Management Program, Application Safelisting, Security Awareness Training Program, Phishing Simulations, Firewall, Endpoint Detection and Response, Intrusion Detection and Protection, Data Loss Prevention.</v>
          </cell>
          <cell r="G76" t="str">
            <v>Likely</v>
          </cell>
          <cell r="H76" t="str">
            <v>Minor</v>
          </cell>
          <cell r="J76" t="str">
            <v>No New Actions Needed</v>
          </cell>
          <cell r="L76" t="str">
            <v>Source of residual risk: Ease of techniques, evasiveness, attacker goals.
Potential additional controls: File integrity monitoring, tool hardening, security baseline.</v>
          </cell>
        </row>
        <row r="77">
          <cell r="B77" t="str">
            <v>TRA1.72 - ERP System - An attacker gains access to a compromised system with a vulnerability in a management tool that offers extensive logging capabilities. This tool can be configured to record keystrokes, system commands, or even application activity. The attacker modifies the tool's configuration to collect sensitive information like usernames, passwords, or other data being processed on the system. By exploiting this functionality within the management tool, the attacker gathers sensitive information that can be used for further attacks or sold on the dark web.</v>
          </cell>
          <cell r="D77" t="str">
            <v>WAF, Email Filtering, Vulnerability Management Program, Application Safelisting, Security Awareness Training Program, Phishing Simulations, Firewall, Endpoint Detection and Response, Intrusion Detection and Protection, Data Loss Prevention.</v>
          </cell>
          <cell r="G77" t="str">
            <v>Possible</v>
          </cell>
          <cell r="H77" t="str">
            <v>Moderate</v>
          </cell>
          <cell r="J77" t="str">
            <v>No New Actions Needed</v>
          </cell>
          <cell r="L77" t="str">
            <v>Source of residual risk: Potential for gain, misconfigurations.
Potential additional controls: Least privilege, application hardening.</v>
          </cell>
        </row>
        <row r="78">
          <cell r="B78" t="str">
            <v>TRA1.73 - ERP System - An attacker gains access to a system through a vulnerability in a management tool that offers functionalities to modify system configurations or manipulate files. They create a script that gathers sensitive data, such as user credentials or financial information, from the system. This script is then uploaded and executed through the compromised management tool. The attacker might then leverage another tool or exploit a separate vulnerability to exfiltrate the stolen data from the system.</v>
          </cell>
          <cell r="D78" t="str">
            <v>WAF, Email Filtering, Vulnerability Management Program, Application Safelisting, Security Awareness Training Program, Phishing Simulations, Firewall, Endpoint Detection and Response, Intrusion Detection and Protection, Data Loss Prevention.</v>
          </cell>
          <cell r="G78" t="str">
            <v>Likely</v>
          </cell>
          <cell r="H78" t="str">
            <v>Minor</v>
          </cell>
          <cell r="J78" t="str">
            <v>No New Actions Needed</v>
          </cell>
          <cell r="L78" t="str">
            <v>Source of residual risk: Skilled attackers, tool development, zero-days, living off the land.
Potential additional controls: Assume compromise mindset, layered detection threat hunting, threat intelligence.</v>
          </cell>
        </row>
        <row r="79">
          <cell r="B79" t="str">
            <v>TRA1.74 - ERP System - Critical Systems Disruption: Management tools often control and configure essential infrastructure components like power grids, transportation systems, or industrial control systems. An attacker could modify settings to trigger outages, manipulate control systems to create physical damage, or disrupt essential services. 
Privilege Escalation: Management tools inherently provide some level of privileged access or control over systems. By exploiting vulnerabilities within these tools, attackers can bypass security measures and elevate their privileges, which can grant them unauthorized access to sensitive data or system functionalities. 
Data Theft: Attackers can exploit vulnerabilities or misconfigurations in these tools to steal sensitive data or manipulate system configurations.</v>
          </cell>
          <cell r="D79" t="str">
            <v>WAF, Email Filtering, Vulnerability Management Program, Application Safelisting, Security Awareness Training Program, Phishing Simulations, Firewall, Endpoint Detection and Response, Intrusion Detection and Protection, Data Loss Prevention.</v>
          </cell>
          <cell r="G79" t="str">
            <v>Possible</v>
          </cell>
          <cell r="H79" t="str">
            <v>Major</v>
          </cell>
          <cell r="J79" t="str">
            <v>Formally Accept the Risk</v>
          </cell>
          <cell r="L79" t="str">
            <v>Source of residual risk: Stored credentials, weak password practices, configuration files.
Potential additional controls: Secure credential storage, MFA, least privilege, auditing and monitoring.</v>
          </cell>
        </row>
        <row r="80">
          <cell r="B80" t="str">
            <v>TRA1.75 - ERP System - An attacker launches an SQL injection attack against a web application. This attack exploits a vulnerability in the way the application interacts with the database. If successful, the attacker can use SQL injection to query the database and gather information about its structure, tables, and potentially even sensitive data within those tables. This information can be used to identify weaknesses in the database schema or plan further attacks to steal or manipulate data.</v>
          </cell>
          <cell r="D80" t="str">
            <v>WAF, Email Filtering, Vulnerability Management Program, Application Safelisting, Security Awareness Training Program, Phishing Simulations, Firewall, Endpoint Detection and Response, Intrusion Detection and Protection, Data Loss Prevention.</v>
          </cell>
          <cell r="G80" t="str">
            <v>Likely</v>
          </cell>
          <cell r="H80" t="str">
            <v>Minor</v>
          </cell>
          <cell r="J80" t="str">
            <v>No New Actions Needed</v>
          </cell>
          <cell r="L80" t="str">
            <v>Source of residual risk: Existing controls have a pre-compromise focus.
Potential additional controls: Network traffic analysis, reduce exposure, activity monitoring, honeypots.</v>
          </cell>
        </row>
        <row r="81">
          <cell r="B81" t="str">
            <v>TRA1.76 - ERP System - An attacker discovers a vulnerability in a database server or within the database management system itself. This vulnerability might be a flaw that allows unauthorized access to sensitive functionalities or data within the database. By exploiting this vulnerability, the attacker can potentially escalate their privileges from a standard user with database access permissions to a database administrator with full control over the data. This escalated access could grant them the ability to manipulate or steal sensitive data, modify database configurations, or even create new accounts with elevated privileges.</v>
          </cell>
          <cell r="D81" t="str">
            <v>WAF, Email Filtering, Vulnerability Management Program, Application Safelisting, Security Awareness Training Program, Phishing Simulations, Firewall, Endpoint Detection and Response, Intrusion Detection and Protection, Data Loss Prevention.</v>
          </cell>
          <cell r="G81" t="str">
            <v>Likely</v>
          </cell>
          <cell r="H81" t="str">
            <v>Negligible</v>
          </cell>
          <cell r="J81" t="str">
            <v>No New Actions Needed</v>
          </cell>
          <cell r="L81" t="str">
            <v>Source of residual risk: Management tools are an attractive target, living off the land, evasive techniques to avoid detection.
Potential additional controls: Network segmentation, least privilege, credential hygiene with MFA.</v>
          </cell>
        </row>
        <row r="82">
          <cell r="B82" t="str">
            <v>TRA1.77 - ERP System - An attacker gains access to a database system with a legitimate user account. This account might have limited permissions to query or retrieve data. The attacker attempts to manipulate data within the database but triggers security alerts or logs that would notify administrators of suspicious activity. To evade detection, the attacker modifies their queries to appear more like standard data retrieval requests. These modifications might involve techniques like obfuscating malicious code within comments or leveraging complex logic within seemingly legitimate queries to achieve their goals without raising red flags.</v>
          </cell>
          <cell r="D82" t="str">
            <v>WAF, Email Filtering, Vulnerability Management Program, Application Safelisting, Security Awareness Training Program, Phishing Simulations, Firewall, Endpoint Detection and Response, Intrusion Detection and Protection, Data Loss Prevention.</v>
          </cell>
          <cell r="G82" t="str">
            <v>Likely</v>
          </cell>
          <cell r="H82" t="str">
            <v>Minor</v>
          </cell>
          <cell r="J82" t="str">
            <v>No New Actions Needed</v>
          </cell>
          <cell r="L82" t="str">
            <v>Source of residual risk: Management tools are an attractive target, living off the land, evasive techniques to avoid detection.
Potential additional controls: Network segmentation, least privilege, credential hygiene with MFA, file integrity monitoring.</v>
          </cell>
        </row>
        <row r="83">
          <cell r="B83" t="str">
            <v>TRA1.78 - ERP System - Attackers can exploit vulnerabilities to query databases for user info or system details or leverage admin tools to discover privileged users or active connections, all valuable intel for further attacks.</v>
          </cell>
          <cell r="D83" t="str">
            <v>WAF, Email Filtering, Vulnerability Management Program, Application Safelisting, Security Awareness Training Program, Phishing Simulations, Firewall, Endpoint Detection and Response, Intrusion Detection and Protection, Data Loss Prevention.</v>
          </cell>
          <cell r="G83" t="str">
            <v>Possible</v>
          </cell>
          <cell r="H83" t="str">
            <v>Moderate</v>
          </cell>
          <cell r="J83" t="str">
            <v>No New Actions Needed</v>
          </cell>
          <cell r="L83" t="str">
            <v>Source of residual risk: Management tools have direct access to sensitive data, attacker evasion tactics
Potential additional controls: Egress filtering, traffic analysis, network segmentation, user behavior analytics.</v>
          </cell>
        </row>
        <row r="84">
          <cell r="B84" t="str">
            <v>TRA1.79 - ERP System - The Database component itself might not enable direct lateral movement. But attackers can exploit stolen credentials from the database to pivot and compromise other systems on the network. The database becomes an info source for facilitating lateral movement.</v>
          </cell>
          <cell r="D84" t="str">
            <v>WAF, Email Filtering, Vulnerability Management Program, Application Safelisting, Security Awareness Training Program, Phishing Simulations, Firewall, Endpoint Detection and Response, Intrusion Detection and Protection, Data Loss Prevention.</v>
          </cell>
          <cell r="G84" t="str">
            <v>Possible</v>
          </cell>
          <cell r="H84" t="str">
            <v>Catastrophic</v>
          </cell>
          <cell r="J84" t="str">
            <v>Mitigate the Risk</v>
          </cell>
          <cell r="L84" t="str">
            <v>Source of residual risk: High-value target, ransomware evolution, skilled attackers, zero-day.
Potential additional controls: Immutable backups, incident response planning, least privilege.</v>
          </cell>
        </row>
        <row r="85">
          <cell r="B85" t="str">
            <v>TRA1.80 - ERP System - Attackers can exploit vulnerabilities to directly query databases for sensitive information or abuse privileged access to collect unauthorized data beyond their permissions. Both methods leverage the database itself for data collection.</v>
          </cell>
          <cell r="D85" t="str">
            <v>WAF, Email Filtering, Vulnerability Management Program, Application Safelisting, Security Awareness Training Program, Phishing Simulations, Firewall, Endpoint Detection and Response, Intrusion Detection and Protection, Data Loss Prevention.</v>
          </cell>
          <cell r="G85" t="str">
            <v>Likely</v>
          </cell>
          <cell r="H85" t="str">
            <v>Minor</v>
          </cell>
          <cell r="J85" t="str">
            <v>No New Actions Needed</v>
          </cell>
          <cell r="L85" t="str">
            <v>Source of residual risk: High-value targets, ease of basic technique, valuable intelligence.
Potential additional controls: Minimize exposure, network traffic analysis, honeypots.</v>
          </cell>
        </row>
        <row r="86">
          <cell r="B86" t="str">
            <v>TRA1.81 - ERP System - The Exfiltration tactic directly applies to databases. Attackers can exploit vulnerabilities or steal credentials to access the database. Once inside, they can write malicious queries, dump data, or manipulate processes to exfiltrate sensitive information directly from the database.</v>
          </cell>
          <cell r="D86" t="str">
            <v>WAF, Email Filtering, Vulnerability Management Program, Application Safelisting, Security Awareness Training Program, Phishing Simulations, Firewall, Endpoint Detection and Response, Intrusion Detection and Protection, Data Loss Prevention.</v>
          </cell>
          <cell r="G86" t="str">
            <v>Possible</v>
          </cell>
          <cell r="H86" t="str">
            <v>Moderate</v>
          </cell>
          <cell r="J86" t="str">
            <v>No New Actions Needed</v>
          </cell>
          <cell r="L86" t="str">
            <v>Source of residual risk: Database complexity, shared servers.
Potential additional controls: Least privilege, database hardening, database monitoring.</v>
          </cell>
        </row>
        <row r="87">
          <cell r="B87" t="str">
            <v>TRA1.82 - ERP System - Databases are prime targets due to the potential impact. Attackers can steal sensitive data (financial records, personal info) or manipulate it (corrupt critical information) to cause financial loss, disrupt operations, or damage an organization's reputation. Breached credentials can also lead to further compromise within the network.</v>
          </cell>
          <cell r="D87" t="str">
            <v>WAF, Email Filtering, Vulnerability Management Program, Application Safelisting, Security Awareness Training Program, Phishing Simulations, Firewall, Endpoint Detection and Response, Intrusion Detection and Protection, Data Loss Prevention.</v>
          </cell>
          <cell r="G87" t="str">
            <v>Possible</v>
          </cell>
          <cell r="H87" t="str">
            <v>Minor</v>
          </cell>
          <cell r="J87" t="str">
            <v>No New Actions Needed</v>
          </cell>
          <cell r="L87" t="str">
            <v>Source of residual risk: Skilled attackers, zero-days, living off the land, evading detection within the database.
Potential additional controls: Database-specific monitoring.</v>
          </cell>
        </row>
        <row r="88">
          <cell r="B88" t="str">
            <v/>
          </cell>
          <cell r="D88" t="str">
            <v>WAF, Email Filtering, Vulnerability Management Program, Application Safelisting, Security Awareness Training Program, Phishing Simulations, Firewall, Endpoint Detection and Response, Intrusion Detection and Protection, Data Loss Prevention.</v>
          </cell>
          <cell r="G88" t="str">
            <v>Possible</v>
          </cell>
          <cell r="H88" t="str">
            <v>Moderate</v>
          </cell>
          <cell r="J88" t="str">
            <v>No New Actions Needed</v>
          </cell>
          <cell r="L88" t="str">
            <v xml:space="preserve">Source of residual risk: Existing controls are focused on pre-compromise
Potential additional controls: Network traffic analysis, reduce exposure, audit database activity, honeypot. </v>
          </cell>
        </row>
        <row r="89">
          <cell r="B89" t="str">
            <v/>
          </cell>
          <cell r="D89" t="str">
            <v>WAF, Email Filtering, Vulnerability Management Program, Application Safelisting, Security Awareness Training Program, Phishing Simulations, Firewall, Endpoint Detection and Response, Intrusion Detection and Protection, Data Loss Prevention.</v>
          </cell>
          <cell r="G89" t="str">
            <v>Possible</v>
          </cell>
          <cell r="H89" t="str">
            <v>Moderate</v>
          </cell>
          <cell r="J89" t="str">
            <v>No New Actions Needed</v>
          </cell>
          <cell r="L89" t="str">
            <v>Source of residual risk: Database as a pivot point, misconfigurations, evasiveness.
Potential additional controls: Network segmentation, least privilege, credential hygiene, activity monitoring.</v>
          </cell>
        </row>
        <row r="90">
          <cell r="B90" t="str">
            <v/>
          </cell>
          <cell r="D90" t="str">
            <v>WAF, Email Filtering, Vulnerability Management Program, Application Safelisting, Security Awareness Training Program, Phishing Simulations, Firewall, Endpoint Detection and Response, Intrusion Detection and Protection, Data Loss Prevention.</v>
          </cell>
          <cell r="G90" t="str">
            <v>Likely</v>
          </cell>
          <cell r="H90" t="str">
            <v>Moderate</v>
          </cell>
          <cell r="J90" t="str">
            <v>Formally Accept the Risk</v>
          </cell>
          <cell r="L90" t="str">
            <v>Source of residual risk: Valuable data, evasion tactics.
Potential additional controls: Database-specific protection, activity monitoring.</v>
          </cell>
        </row>
        <row r="91">
          <cell r="B91" t="str">
            <v/>
          </cell>
          <cell r="D91" t="str">
            <v>WAF, Email Filtering, Vulnerability Management Program, Application Safelisting, Security Awareness Training Program, Phishing Simulations, Firewall, Endpoint Detection and Response, Intrusion Detection and Protection, Data Loss Prevention.</v>
          </cell>
          <cell r="G91" t="str">
            <v>Possible</v>
          </cell>
          <cell r="H91" t="str">
            <v>Catastrophic</v>
          </cell>
          <cell r="J91" t="str">
            <v>Mitigate the Risk</v>
          </cell>
          <cell r="L91" t="str">
            <v>Source of residual risk: valuable data, evasion tactics.
Potential additional controls: egress filtering, network traffic analysis, database activity monitoring, user behavior analytics.</v>
          </cell>
        </row>
        <row r="92">
          <cell r="B92" t="str">
            <v/>
          </cell>
          <cell r="D92" t="str">
            <v>WAF, Email Filtering, Vulnerability Management Program, Application Safelisting, Security Awareness Training Program, Phishing Simulations, Firewall, Endpoint Detection and Response, Intrusion Detection and Protection, Data Loss Prevention.</v>
          </cell>
          <cell r="G92" t="str">
            <v>Possible</v>
          </cell>
          <cell r="H92" t="str">
            <v>Catastrophic</v>
          </cell>
          <cell r="J92" t="str">
            <v>Mitigate the Risk</v>
          </cell>
          <cell r="L92" t="str">
            <v>Source of residual risk: ransomware evolution, skilled attackers, zero-day.
Potential additional controls: Robust backups, incident response planning, patch management, least privilege, activity monitoring</v>
          </cell>
        </row>
        <row r="93">
          <cell r="B93" t="str">
            <v/>
          </cell>
        </row>
        <row r="94">
          <cell r="B94" t="str">
            <v/>
          </cell>
        </row>
        <row r="95">
          <cell r="B95" t="str">
            <v/>
          </cell>
        </row>
        <row r="96">
          <cell r="B96" t="str">
            <v/>
          </cell>
        </row>
        <row r="97">
          <cell r="B97" t="str">
            <v/>
          </cell>
        </row>
        <row r="98">
          <cell r="B98" t="str">
            <v/>
          </cell>
        </row>
        <row r="99">
          <cell r="B99" t="str">
            <v/>
          </cell>
        </row>
        <row r="100">
          <cell r="B100" t="str">
            <v/>
          </cell>
        </row>
        <row r="101">
          <cell r="B101" t="str">
            <v/>
          </cell>
        </row>
        <row r="102">
          <cell r="B102" t="str">
            <v/>
          </cell>
        </row>
        <row r="103">
          <cell r="B103" t="str">
            <v/>
          </cell>
        </row>
        <row r="104">
          <cell r="B104" t="str">
            <v/>
          </cell>
        </row>
        <row r="105">
          <cell r="B105" t="str">
            <v/>
          </cell>
        </row>
        <row r="106">
          <cell r="B106" t="str">
            <v/>
          </cell>
        </row>
        <row r="107">
          <cell r="B107" t="str">
            <v/>
          </cell>
        </row>
        <row r="108">
          <cell r="B108" t="str">
            <v/>
          </cell>
        </row>
        <row r="109">
          <cell r="B109" t="str">
            <v/>
          </cell>
        </row>
        <row r="110">
          <cell r="B110" t="str">
            <v/>
          </cell>
        </row>
        <row r="111">
          <cell r="B111" t="str">
            <v/>
          </cell>
        </row>
        <row r="112">
          <cell r="B112" t="str">
            <v/>
          </cell>
        </row>
        <row r="113">
          <cell r="B113" t="str">
            <v/>
          </cell>
        </row>
        <row r="114">
          <cell r="B114" t="str">
            <v/>
          </cell>
        </row>
        <row r="115">
          <cell r="B115" t="str">
            <v/>
          </cell>
        </row>
        <row r="116">
          <cell r="B116" t="str">
            <v/>
          </cell>
        </row>
        <row r="117">
          <cell r="B117" t="str">
            <v/>
          </cell>
        </row>
        <row r="118">
          <cell r="B118" t="str">
            <v/>
          </cell>
        </row>
        <row r="119">
          <cell r="B119" t="str">
            <v/>
          </cell>
        </row>
        <row r="120">
          <cell r="B120" t="str">
            <v/>
          </cell>
        </row>
        <row r="121">
          <cell r="B121" t="str">
            <v/>
          </cell>
        </row>
        <row r="122">
          <cell r="B122" t="str">
            <v/>
          </cell>
        </row>
        <row r="123">
          <cell r="B123" t="str">
            <v/>
          </cell>
        </row>
        <row r="124">
          <cell r="B124" t="str">
            <v/>
          </cell>
        </row>
        <row r="125">
          <cell r="B125" t="str">
            <v/>
          </cell>
        </row>
        <row r="126">
          <cell r="B126" t="str">
            <v/>
          </cell>
        </row>
        <row r="127">
          <cell r="B127" t="str">
            <v/>
          </cell>
        </row>
        <row r="128">
          <cell r="B128" t="str">
            <v/>
          </cell>
        </row>
        <row r="129">
          <cell r="B129" t="str">
            <v/>
          </cell>
        </row>
        <row r="130">
          <cell r="B130" t="str">
            <v/>
          </cell>
        </row>
        <row r="131">
          <cell r="B131" t="str">
            <v/>
          </cell>
        </row>
        <row r="132">
          <cell r="B132" t="str">
            <v/>
          </cell>
        </row>
        <row r="133">
          <cell r="B133" t="str">
            <v/>
          </cell>
        </row>
        <row r="134">
          <cell r="B134" t="str">
            <v/>
          </cell>
        </row>
        <row r="135">
          <cell r="B135" t="str">
            <v/>
          </cell>
        </row>
        <row r="136">
          <cell r="B136" t="str">
            <v/>
          </cell>
        </row>
        <row r="137">
          <cell r="B137" t="str">
            <v/>
          </cell>
        </row>
        <row r="138">
          <cell r="B138" t="str">
            <v/>
          </cell>
        </row>
        <row r="139">
          <cell r="B139" t="str">
            <v/>
          </cell>
        </row>
        <row r="140">
          <cell r="B140" t="str">
            <v/>
          </cell>
        </row>
        <row r="141">
          <cell r="B141" t="str">
            <v/>
          </cell>
        </row>
        <row r="142">
          <cell r="B142" t="str">
            <v/>
          </cell>
        </row>
        <row r="143">
          <cell r="B143" t="str">
            <v/>
          </cell>
        </row>
        <row r="144">
          <cell r="B144" t="str">
            <v/>
          </cell>
        </row>
        <row r="145">
          <cell r="B145" t="str">
            <v/>
          </cell>
        </row>
        <row r="146">
          <cell r="B146" t="str">
            <v/>
          </cell>
        </row>
        <row r="147">
          <cell r="B147" t="str">
            <v/>
          </cell>
        </row>
        <row r="148">
          <cell r="B148" t="str">
            <v/>
          </cell>
        </row>
        <row r="149">
          <cell r="B149" t="str">
            <v/>
          </cell>
        </row>
        <row r="150">
          <cell r="B150" t="str">
            <v/>
          </cell>
        </row>
        <row r="151">
          <cell r="B151" t="str">
            <v/>
          </cell>
        </row>
        <row r="152">
          <cell r="B152" t="str">
            <v/>
          </cell>
        </row>
        <row r="153">
          <cell r="B153" t="str">
            <v/>
          </cell>
        </row>
        <row r="154">
          <cell r="B154" t="str">
            <v/>
          </cell>
        </row>
        <row r="155">
          <cell r="B155" t="str">
            <v/>
          </cell>
        </row>
        <row r="156">
          <cell r="B156" t="str">
            <v/>
          </cell>
        </row>
        <row r="157">
          <cell r="B157" t="str">
            <v/>
          </cell>
        </row>
        <row r="158">
          <cell r="B158" t="str">
            <v/>
          </cell>
        </row>
        <row r="159">
          <cell r="B159" t="str">
            <v/>
          </cell>
        </row>
        <row r="160">
          <cell r="B160" t="str">
            <v/>
          </cell>
        </row>
        <row r="161">
          <cell r="B161" t="str">
            <v/>
          </cell>
        </row>
        <row r="162">
          <cell r="B162" t="str">
            <v/>
          </cell>
        </row>
        <row r="163">
          <cell r="B163" t="str">
            <v/>
          </cell>
        </row>
        <row r="164">
          <cell r="B164" t="str">
            <v/>
          </cell>
        </row>
        <row r="165">
          <cell r="B165" t="str">
            <v/>
          </cell>
        </row>
        <row r="166">
          <cell r="B166" t="str">
            <v/>
          </cell>
        </row>
        <row r="167">
          <cell r="B167" t="str">
            <v/>
          </cell>
        </row>
        <row r="168">
          <cell r="B168" t="str">
            <v/>
          </cell>
        </row>
        <row r="169">
          <cell r="B169" t="str">
            <v/>
          </cell>
        </row>
        <row r="170">
          <cell r="B170" t="str">
            <v/>
          </cell>
        </row>
        <row r="171">
          <cell r="B171" t="str">
            <v/>
          </cell>
        </row>
        <row r="172">
          <cell r="B172" t="str">
            <v/>
          </cell>
        </row>
        <row r="173">
          <cell r="B173" t="str">
            <v/>
          </cell>
        </row>
        <row r="174">
          <cell r="B174" t="str">
            <v/>
          </cell>
        </row>
        <row r="175">
          <cell r="B175" t="str">
            <v/>
          </cell>
        </row>
        <row r="176">
          <cell r="B176" t="str">
            <v/>
          </cell>
        </row>
        <row r="177">
          <cell r="B177" t="str">
            <v/>
          </cell>
        </row>
        <row r="178">
          <cell r="B178" t="str">
            <v/>
          </cell>
        </row>
        <row r="179">
          <cell r="B179" t="str">
            <v/>
          </cell>
        </row>
        <row r="180">
          <cell r="B180" t="str">
            <v/>
          </cell>
        </row>
        <row r="181">
          <cell r="B181" t="str">
            <v/>
          </cell>
        </row>
        <row r="182">
          <cell r="B182" t="str">
            <v/>
          </cell>
        </row>
        <row r="183">
          <cell r="B183" t="str">
            <v/>
          </cell>
        </row>
        <row r="184">
          <cell r="B184" t="str">
            <v/>
          </cell>
        </row>
        <row r="185">
          <cell r="B185" t="str">
            <v/>
          </cell>
        </row>
        <row r="186">
          <cell r="B186" t="str">
            <v/>
          </cell>
        </row>
        <row r="187">
          <cell r="B187" t="str">
            <v/>
          </cell>
        </row>
        <row r="188">
          <cell r="B188" t="str">
            <v/>
          </cell>
        </row>
        <row r="189">
          <cell r="B189" t="str">
            <v/>
          </cell>
        </row>
        <row r="190">
          <cell r="B190" t="str">
            <v/>
          </cell>
        </row>
        <row r="191">
          <cell r="B191" t="str">
            <v/>
          </cell>
        </row>
        <row r="192">
          <cell r="B192" t="str">
            <v/>
          </cell>
        </row>
        <row r="193">
          <cell r="B193" t="str">
            <v/>
          </cell>
        </row>
        <row r="194">
          <cell r="B194" t="str">
            <v/>
          </cell>
        </row>
        <row r="195">
          <cell r="B195" t="str">
            <v/>
          </cell>
        </row>
        <row r="196">
          <cell r="B196" t="str">
            <v/>
          </cell>
        </row>
        <row r="197">
          <cell r="B197" t="str">
            <v/>
          </cell>
        </row>
        <row r="198">
          <cell r="B198" t="str">
            <v/>
          </cell>
        </row>
        <row r="199">
          <cell r="B199" t="str">
            <v/>
          </cell>
        </row>
        <row r="200">
          <cell r="B200" t="str">
            <v/>
          </cell>
        </row>
        <row r="201">
          <cell r="B201" t="str">
            <v/>
          </cell>
        </row>
        <row r="202">
          <cell r="B202" t="str">
            <v/>
          </cell>
        </row>
        <row r="203">
          <cell r="B203" t="str">
            <v/>
          </cell>
        </row>
        <row r="204">
          <cell r="B204" t="str">
            <v/>
          </cell>
        </row>
        <row r="205">
          <cell r="B205" t="str">
            <v/>
          </cell>
        </row>
        <row r="206">
          <cell r="B206" t="str">
            <v/>
          </cell>
        </row>
        <row r="207">
          <cell r="B207" t="str">
            <v/>
          </cell>
        </row>
        <row r="208">
          <cell r="B208" t="str">
            <v/>
          </cell>
        </row>
        <row r="209">
          <cell r="B209" t="str">
            <v/>
          </cell>
        </row>
        <row r="210">
          <cell r="B210" t="str">
            <v/>
          </cell>
        </row>
        <row r="211">
          <cell r="B211" t="str">
            <v/>
          </cell>
        </row>
        <row r="212">
          <cell r="B212" t="str">
            <v/>
          </cell>
        </row>
        <row r="213">
          <cell r="B213" t="str">
            <v/>
          </cell>
        </row>
        <row r="214">
          <cell r="B214" t="str">
            <v/>
          </cell>
        </row>
        <row r="215">
          <cell r="B215" t="str">
            <v/>
          </cell>
        </row>
        <row r="216">
          <cell r="B216" t="str">
            <v/>
          </cell>
        </row>
        <row r="217">
          <cell r="B217" t="str">
            <v/>
          </cell>
        </row>
        <row r="218">
          <cell r="B218" t="str">
            <v/>
          </cell>
        </row>
        <row r="219">
          <cell r="B219" t="str">
            <v/>
          </cell>
        </row>
        <row r="220">
          <cell r="B220" t="str">
            <v/>
          </cell>
        </row>
        <row r="221">
          <cell r="B221" t="str">
            <v/>
          </cell>
        </row>
        <row r="222">
          <cell r="B222" t="str">
            <v/>
          </cell>
        </row>
        <row r="223">
          <cell r="B223" t="str">
            <v/>
          </cell>
        </row>
        <row r="224">
          <cell r="B224" t="str">
            <v/>
          </cell>
        </row>
        <row r="225">
          <cell r="B225" t="str">
            <v/>
          </cell>
        </row>
        <row r="226">
          <cell r="B226" t="str">
            <v/>
          </cell>
        </row>
        <row r="227">
          <cell r="B227" t="str">
            <v/>
          </cell>
        </row>
        <row r="228">
          <cell r="B228" t="str">
            <v/>
          </cell>
        </row>
        <row r="229">
          <cell r="B229" t="str">
            <v/>
          </cell>
        </row>
        <row r="230">
          <cell r="B230" t="str">
            <v/>
          </cell>
        </row>
        <row r="231">
          <cell r="B231" t="str">
            <v/>
          </cell>
        </row>
        <row r="232">
          <cell r="B232" t="str">
            <v/>
          </cell>
        </row>
        <row r="233">
          <cell r="B233" t="str">
            <v/>
          </cell>
        </row>
        <row r="234">
          <cell r="B234" t="str">
            <v/>
          </cell>
        </row>
        <row r="235">
          <cell r="B235" t="str">
            <v/>
          </cell>
        </row>
        <row r="236">
          <cell r="B236" t="str">
            <v/>
          </cell>
        </row>
        <row r="237">
          <cell r="B237" t="str">
            <v/>
          </cell>
        </row>
        <row r="238">
          <cell r="B238" t="str">
            <v/>
          </cell>
        </row>
        <row r="239">
          <cell r="B239" t="str">
            <v/>
          </cell>
        </row>
        <row r="240">
          <cell r="B240" t="str">
            <v/>
          </cell>
        </row>
        <row r="241">
          <cell r="B241" t="str">
            <v/>
          </cell>
        </row>
        <row r="242">
          <cell r="B242" t="str">
            <v/>
          </cell>
        </row>
        <row r="243">
          <cell r="B243" t="str">
            <v/>
          </cell>
        </row>
        <row r="244">
          <cell r="B244" t="str">
            <v/>
          </cell>
        </row>
        <row r="245">
          <cell r="B245" t="str">
            <v/>
          </cell>
        </row>
        <row r="246">
          <cell r="B246" t="str">
            <v/>
          </cell>
        </row>
        <row r="247">
          <cell r="B247" t="str">
            <v/>
          </cell>
        </row>
        <row r="248">
          <cell r="B248" t="str">
            <v/>
          </cell>
        </row>
        <row r="249">
          <cell r="B249" t="str">
            <v/>
          </cell>
        </row>
        <row r="250">
          <cell r="B250" t="str">
            <v/>
          </cell>
        </row>
        <row r="251">
          <cell r="B251" t="str">
            <v/>
          </cell>
        </row>
        <row r="252">
          <cell r="B252" t="str">
            <v/>
          </cell>
        </row>
        <row r="253">
          <cell r="B253" t="str">
            <v/>
          </cell>
        </row>
        <row r="254">
          <cell r="B254" t="str">
            <v/>
          </cell>
        </row>
        <row r="255">
          <cell r="B255" t="str">
            <v/>
          </cell>
        </row>
        <row r="256">
          <cell r="B256" t="str">
            <v/>
          </cell>
        </row>
        <row r="257">
          <cell r="B257" t="str">
            <v/>
          </cell>
        </row>
        <row r="258">
          <cell r="B258" t="str">
            <v/>
          </cell>
        </row>
        <row r="259">
          <cell r="B259" t="str">
            <v/>
          </cell>
        </row>
        <row r="260">
          <cell r="B260" t="str">
            <v/>
          </cell>
        </row>
        <row r="261">
          <cell r="B261" t="str">
            <v/>
          </cell>
        </row>
        <row r="262">
          <cell r="B262" t="str">
            <v/>
          </cell>
        </row>
        <row r="263">
          <cell r="B263" t="str">
            <v/>
          </cell>
        </row>
        <row r="264">
          <cell r="B264" t="str">
            <v/>
          </cell>
        </row>
        <row r="265">
          <cell r="B265" t="str">
            <v/>
          </cell>
        </row>
        <row r="266">
          <cell r="B266" t="str">
            <v/>
          </cell>
        </row>
        <row r="267">
          <cell r="B267" t="str">
            <v/>
          </cell>
        </row>
        <row r="268">
          <cell r="B268" t="str">
            <v/>
          </cell>
        </row>
        <row r="269">
          <cell r="B269" t="str">
            <v/>
          </cell>
        </row>
        <row r="270">
          <cell r="B270" t="str">
            <v/>
          </cell>
        </row>
        <row r="271">
          <cell r="B271" t="str">
            <v/>
          </cell>
        </row>
        <row r="272">
          <cell r="B272" t="str">
            <v/>
          </cell>
        </row>
        <row r="273">
          <cell r="B273" t="str">
            <v/>
          </cell>
        </row>
        <row r="274">
          <cell r="B274" t="str">
            <v/>
          </cell>
        </row>
        <row r="275">
          <cell r="B275" t="str">
            <v/>
          </cell>
        </row>
        <row r="276">
          <cell r="B276" t="str">
            <v/>
          </cell>
        </row>
        <row r="277">
          <cell r="B277" t="str">
            <v/>
          </cell>
        </row>
        <row r="278">
          <cell r="B278" t="str">
            <v/>
          </cell>
        </row>
        <row r="279">
          <cell r="B279" t="str">
            <v/>
          </cell>
        </row>
        <row r="280">
          <cell r="B280" t="str">
            <v/>
          </cell>
        </row>
        <row r="281">
          <cell r="B281" t="str">
            <v/>
          </cell>
        </row>
        <row r="282">
          <cell r="B282" t="str">
            <v/>
          </cell>
        </row>
        <row r="283">
          <cell r="B283" t="str">
            <v/>
          </cell>
        </row>
        <row r="284">
          <cell r="B284" t="str">
            <v/>
          </cell>
        </row>
        <row r="285">
          <cell r="B285" t="str">
            <v/>
          </cell>
        </row>
        <row r="286">
          <cell r="B286" t="str">
            <v/>
          </cell>
        </row>
        <row r="287">
          <cell r="B287" t="str">
            <v/>
          </cell>
        </row>
        <row r="288">
          <cell r="B288" t="str">
            <v/>
          </cell>
        </row>
        <row r="289">
          <cell r="B289" t="str">
            <v/>
          </cell>
        </row>
        <row r="290">
          <cell r="B290" t="str">
            <v/>
          </cell>
        </row>
        <row r="291">
          <cell r="B291" t="str">
            <v/>
          </cell>
        </row>
        <row r="292">
          <cell r="B292" t="str">
            <v/>
          </cell>
        </row>
        <row r="293">
          <cell r="B293" t="str">
            <v/>
          </cell>
        </row>
        <row r="294">
          <cell r="B294" t="str">
            <v/>
          </cell>
        </row>
        <row r="295">
          <cell r="B295" t="str">
            <v/>
          </cell>
        </row>
        <row r="296">
          <cell r="B296" t="str">
            <v/>
          </cell>
        </row>
        <row r="297">
          <cell r="B297" t="str">
            <v/>
          </cell>
        </row>
        <row r="298">
          <cell r="B298" t="str">
            <v/>
          </cell>
        </row>
        <row r="299">
          <cell r="B299" t="str">
            <v/>
          </cell>
        </row>
        <row r="300">
          <cell r="B300" t="str">
            <v/>
          </cell>
        </row>
        <row r="301">
          <cell r="B301" t="str">
            <v/>
          </cell>
        </row>
        <row r="302">
          <cell r="B302" t="str">
            <v/>
          </cell>
        </row>
        <row r="303">
          <cell r="B303" t="str">
            <v/>
          </cell>
        </row>
        <row r="304">
          <cell r="B304" t="str">
            <v/>
          </cell>
        </row>
        <row r="305">
          <cell r="B305" t="str">
            <v/>
          </cell>
        </row>
        <row r="306">
          <cell r="B306" t="str">
            <v/>
          </cell>
        </row>
        <row r="307">
          <cell r="B307" t="str">
            <v/>
          </cell>
        </row>
        <row r="308">
          <cell r="B308" t="str">
            <v/>
          </cell>
        </row>
        <row r="309">
          <cell r="B309" t="str">
            <v/>
          </cell>
        </row>
        <row r="310">
          <cell r="B310" t="str">
            <v/>
          </cell>
        </row>
        <row r="311">
          <cell r="B311" t="str">
            <v/>
          </cell>
        </row>
        <row r="312">
          <cell r="B312" t="str">
            <v/>
          </cell>
        </row>
        <row r="313">
          <cell r="B313" t="str">
            <v/>
          </cell>
        </row>
        <row r="314">
          <cell r="B314" t="str">
            <v/>
          </cell>
        </row>
        <row r="315">
          <cell r="B315" t="str">
            <v/>
          </cell>
        </row>
        <row r="316">
          <cell r="B316" t="str">
            <v/>
          </cell>
        </row>
        <row r="317">
          <cell r="B317" t="str">
            <v/>
          </cell>
        </row>
        <row r="318">
          <cell r="B318" t="str">
            <v/>
          </cell>
        </row>
        <row r="319">
          <cell r="B319" t="str">
            <v/>
          </cell>
        </row>
        <row r="320">
          <cell r="B320" t="str">
            <v/>
          </cell>
        </row>
        <row r="321">
          <cell r="B321" t="str">
            <v/>
          </cell>
        </row>
        <row r="322">
          <cell r="B322" t="str">
            <v/>
          </cell>
        </row>
        <row r="323">
          <cell r="B323" t="str">
            <v/>
          </cell>
        </row>
        <row r="324">
          <cell r="B324" t="str">
            <v/>
          </cell>
        </row>
        <row r="325">
          <cell r="B325" t="str">
            <v/>
          </cell>
        </row>
        <row r="326">
          <cell r="B326" t="str">
            <v/>
          </cell>
        </row>
        <row r="327">
          <cell r="B327" t="str">
            <v/>
          </cell>
        </row>
        <row r="328">
          <cell r="B328" t="str">
            <v/>
          </cell>
        </row>
        <row r="329">
          <cell r="B329" t="str">
            <v/>
          </cell>
        </row>
        <row r="330">
          <cell r="B330" t="str">
            <v/>
          </cell>
        </row>
        <row r="331">
          <cell r="B331" t="str">
            <v/>
          </cell>
        </row>
        <row r="332">
          <cell r="B332" t="str">
            <v/>
          </cell>
        </row>
        <row r="333">
          <cell r="B333" t="str">
            <v/>
          </cell>
        </row>
        <row r="334">
          <cell r="B334" t="str">
            <v/>
          </cell>
        </row>
        <row r="335">
          <cell r="B335" t="str">
            <v/>
          </cell>
        </row>
        <row r="336">
          <cell r="B336" t="str">
            <v/>
          </cell>
        </row>
        <row r="337">
          <cell r="B337" t="str">
            <v/>
          </cell>
        </row>
        <row r="338">
          <cell r="B338" t="str">
            <v/>
          </cell>
        </row>
        <row r="339">
          <cell r="B339" t="str">
            <v/>
          </cell>
        </row>
        <row r="340">
          <cell r="B340" t="str">
            <v/>
          </cell>
        </row>
        <row r="341">
          <cell r="B341" t="str">
            <v/>
          </cell>
        </row>
        <row r="342">
          <cell r="B342" t="str">
            <v/>
          </cell>
        </row>
        <row r="343">
          <cell r="B343" t="str">
            <v/>
          </cell>
        </row>
        <row r="344">
          <cell r="B344" t="str">
            <v/>
          </cell>
        </row>
        <row r="345">
          <cell r="B345" t="str">
            <v/>
          </cell>
        </row>
        <row r="346">
          <cell r="B346" t="str">
            <v/>
          </cell>
        </row>
        <row r="347">
          <cell r="B347" t="str">
            <v/>
          </cell>
        </row>
        <row r="348">
          <cell r="B348" t="str">
            <v/>
          </cell>
        </row>
        <row r="349">
          <cell r="B349" t="str">
            <v/>
          </cell>
        </row>
        <row r="350">
          <cell r="B350" t="str">
            <v/>
          </cell>
        </row>
        <row r="351">
          <cell r="B351" t="str">
            <v/>
          </cell>
        </row>
        <row r="352">
          <cell r="B352" t="str">
            <v/>
          </cell>
        </row>
        <row r="353">
          <cell r="B353" t="str">
            <v/>
          </cell>
        </row>
        <row r="354">
          <cell r="B354" t="str">
            <v/>
          </cell>
        </row>
        <row r="355">
          <cell r="B355" t="str">
            <v/>
          </cell>
        </row>
        <row r="356">
          <cell r="B356" t="str">
            <v/>
          </cell>
        </row>
        <row r="357">
          <cell r="B357" t="str">
            <v/>
          </cell>
        </row>
        <row r="358">
          <cell r="B358" t="str">
            <v/>
          </cell>
        </row>
        <row r="359">
          <cell r="B359" t="str">
            <v/>
          </cell>
        </row>
        <row r="360">
          <cell r="B360" t="str">
            <v/>
          </cell>
        </row>
        <row r="361">
          <cell r="B361" t="str">
            <v/>
          </cell>
        </row>
        <row r="362">
          <cell r="B362" t="str">
            <v/>
          </cell>
        </row>
        <row r="363">
          <cell r="B363" t="str">
            <v/>
          </cell>
        </row>
        <row r="364">
          <cell r="B364" t="str">
            <v/>
          </cell>
        </row>
        <row r="365">
          <cell r="B365" t="str">
            <v/>
          </cell>
        </row>
        <row r="366">
          <cell r="B366" t="str">
            <v/>
          </cell>
        </row>
        <row r="367">
          <cell r="B367" t="str">
            <v/>
          </cell>
        </row>
        <row r="368">
          <cell r="B368" t="str">
            <v/>
          </cell>
        </row>
        <row r="369">
          <cell r="B369" t="str">
            <v/>
          </cell>
        </row>
        <row r="370">
          <cell r="B370" t="str">
            <v/>
          </cell>
        </row>
        <row r="371">
          <cell r="B371" t="str">
            <v/>
          </cell>
        </row>
        <row r="372">
          <cell r="B372" t="str">
            <v/>
          </cell>
        </row>
        <row r="373">
          <cell r="B373" t="str">
            <v/>
          </cell>
        </row>
        <row r="374">
          <cell r="B374" t="str">
            <v/>
          </cell>
        </row>
        <row r="375">
          <cell r="B375" t="str">
            <v/>
          </cell>
        </row>
        <row r="376">
          <cell r="B376" t="str">
            <v/>
          </cell>
        </row>
        <row r="377">
          <cell r="B377" t="str">
            <v/>
          </cell>
        </row>
        <row r="378">
          <cell r="B378" t="str">
            <v/>
          </cell>
        </row>
        <row r="379">
          <cell r="B379" t="str">
            <v/>
          </cell>
        </row>
        <row r="380">
          <cell r="B380" t="str">
            <v/>
          </cell>
        </row>
        <row r="381">
          <cell r="B381" t="str">
            <v/>
          </cell>
        </row>
        <row r="382">
          <cell r="B382" t="str">
            <v/>
          </cell>
        </row>
        <row r="383">
          <cell r="B383" t="str">
            <v/>
          </cell>
        </row>
        <row r="384">
          <cell r="B384" t="str">
            <v/>
          </cell>
        </row>
        <row r="385">
          <cell r="B385" t="str">
            <v/>
          </cell>
        </row>
        <row r="386">
          <cell r="B386" t="str">
            <v/>
          </cell>
        </row>
        <row r="387">
          <cell r="B387" t="str">
            <v/>
          </cell>
        </row>
        <row r="388">
          <cell r="B388" t="str">
            <v/>
          </cell>
        </row>
        <row r="389">
          <cell r="B389" t="str">
            <v/>
          </cell>
        </row>
        <row r="390">
          <cell r="B390" t="str">
            <v/>
          </cell>
        </row>
        <row r="391">
          <cell r="B391" t="str">
            <v/>
          </cell>
        </row>
        <row r="392">
          <cell r="B392" t="str">
            <v/>
          </cell>
        </row>
        <row r="393">
          <cell r="B393" t="str">
            <v/>
          </cell>
        </row>
        <row r="394">
          <cell r="B394" t="str">
            <v/>
          </cell>
        </row>
        <row r="395">
          <cell r="B395" t="str">
            <v/>
          </cell>
        </row>
        <row r="396">
          <cell r="B396" t="str">
            <v/>
          </cell>
        </row>
        <row r="397">
          <cell r="B397" t="str">
            <v/>
          </cell>
        </row>
        <row r="398">
          <cell r="B398" t="str">
            <v/>
          </cell>
        </row>
        <row r="399">
          <cell r="B399" t="str">
            <v/>
          </cell>
        </row>
        <row r="400">
          <cell r="B400" t="str">
            <v/>
          </cell>
        </row>
        <row r="401">
          <cell r="B401" t="str">
            <v/>
          </cell>
        </row>
        <row r="402">
          <cell r="B402" t="str">
            <v/>
          </cell>
        </row>
        <row r="403">
          <cell r="B403" t="str">
            <v/>
          </cell>
        </row>
        <row r="404">
          <cell r="B404" t="str">
            <v/>
          </cell>
        </row>
        <row r="405">
          <cell r="B405" t="str">
            <v/>
          </cell>
        </row>
        <row r="406">
          <cell r="B406" t="str">
            <v/>
          </cell>
        </row>
        <row r="407">
          <cell r="B407" t="str">
            <v/>
          </cell>
        </row>
        <row r="408">
          <cell r="B408" t="str">
            <v/>
          </cell>
        </row>
        <row r="409">
          <cell r="B409" t="str">
            <v/>
          </cell>
        </row>
        <row r="410">
          <cell r="B410" t="str">
            <v/>
          </cell>
        </row>
        <row r="411">
          <cell r="B411" t="str">
            <v/>
          </cell>
        </row>
        <row r="412">
          <cell r="B412" t="str">
            <v/>
          </cell>
        </row>
        <row r="413">
          <cell r="B413" t="str">
            <v/>
          </cell>
        </row>
        <row r="414">
          <cell r="B414" t="str">
            <v/>
          </cell>
        </row>
        <row r="415">
          <cell r="B415" t="str">
            <v/>
          </cell>
        </row>
        <row r="416">
          <cell r="B416" t="str">
            <v/>
          </cell>
        </row>
        <row r="417">
          <cell r="B417" t="str">
            <v/>
          </cell>
        </row>
        <row r="418">
          <cell r="B418" t="str">
            <v/>
          </cell>
        </row>
        <row r="419">
          <cell r="B419" t="str">
            <v/>
          </cell>
        </row>
        <row r="420">
          <cell r="B420" t="str">
            <v/>
          </cell>
        </row>
        <row r="421">
          <cell r="B421" t="str">
            <v/>
          </cell>
        </row>
        <row r="422">
          <cell r="B422" t="str">
            <v/>
          </cell>
        </row>
        <row r="423">
          <cell r="B423" t="str">
            <v/>
          </cell>
        </row>
        <row r="424">
          <cell r="B424" t="str">
            <v/>
          </cell>
        </row>
        <row r="425">
          <cell r="B425" t="str">
            <v/>
          </cell>
        </row>
        <row r="426">
          <cell r="B426" t="str">
            <v/>
          </cell>
        </row>
        <row r="427">
          <cell r="B427" t="str">
            <v/>
          </cell>
        </row>
        <row r="428">
          <cell r="B428" t="str">
            <v/>
          </cell>
        </row>
        <row r="429">
          <cell r="B429" t="str">
            <v/>
          </cell>
        </row>
        <row r="430">
          <cell r="B430" t="str">
            <v/>
          </cell>
        </row>
        <row r="431">
          <cell r="B431" t="str">
            <v/>
          </cell>
        </row>
        <row r="432">
          <cell r="B432" t="str">
            <v/>
          </cell>
        </row>
        <row r="433">
          <cell r="B433" t="str">
            <v/>
          </cell>
        </row>
        <row r="434">
          <cell r="B434" t="str">
            <v/>
          </cell>
        </row>
        <row r="435">
          <cell r="B435" t="str">
            <v/>
          </cell>
        </row>
        <row r="436">
          <cell r="B436" t="str">
            <v/>
          </cell>
        </row>
        <row r="437">
          <cell r="B437" t="str">
            <v/>
          </cell>
        </row>
        <row r="438">
          <cell r="B438" t="str">
            <v/>
          </cell>
        </row>
        <row r="439">
          <cell r="B439" t="str">
            <v/>
          </cell>
        </row>
        <row r="440">
          <cell r="B440" t="str">
            <v/>
          </cell>
        </row>
        <row r="441">
          <cell r="B441" t="str">
            <v/>
          </cell>
        </row>
        <row r="442">
          <cell r="B442" t="str">
            <v/>
          </cell>
        </row>
        <row r="443">
          <cell r="B443" t="str">
            <v/>
          </cell>
        </row>
        <row r="444">
          <cell r="B444" t="str">
            <v/>
          </cell>
        </row>
        <row r="445">
          <cell r="B445" t="str">
            <v/>
          </cell>
        </row>
        <row r="446">
          <cell r="B446" t="str">
            <v/>
          </cell>
        </row>
        <row r="447">
          <cell r="B447" t="str">
            <v/>
          </cell>
        </row>
        <row r="448">
          <cell r="B448" t="str">
            <v/>
          </cell>
        </row>
        <row r="449">
          <cell r="B449" t="str">
            <v/>
          </cell>
        </row>
        <row r="450">
          <cell r="B450" t="str">
            <v/>
          </cell>
        </row>
        <row r="451">
          <cell r="B451" t="str">
            <v/>
          </cell>
        </row>
        <row r="452">
          <cell r="B452" t="str">
            <v/>
          </cell>
        </row>
        <row r="453">
          <cell r="B453" t="str">
            <v/>
          </cell>
        </row>
        <row r="454">
          <cell r="B454" t="str">
            <v/>
          </cell>
        </row>
        <row r="455">
          <cell r="B455" t="str">
            <v/>
          </cell>
        </row>
        <row r="456">
          <cell r="B456" t="str">
            <v/>
          </cell>
        </row>
        <row r="457">
          <cell r="B457" t="str">
            <v/>
          </cell>
        </row>
        <row r="458">
          <cell r="B458" t="str">
            <v/>
          </cell>
        </row>
        <row r="459">
          <cell r="B459" t="str">
            <v/>
          </cell>
        </row>
        <row r="460">
          <cell r="B460" t="str">
            <v/>
          </cell>
        </row>
        <row r="461">
          <cell r="B461" t="str">
            <v/>
          </cell>
        </row>
        <row r="462">
          <cell r="B462" t="str">
            <v/>
          </cell>
        </row>
        <row r="463">
          <cell r="B463" t="str">
            <v/>
          </cell>
        </row>
        <row r="464">
          <cell r="B464" t="str">
            <v/>
          </cell>
        </row>
        <row r="465">
          <cell r="B465" t="str">
            <v/>
          </cell>
        </row>
        <row r="466">
          <cell r="B466" t="str">
            <v/>
          </cell>
        </row>
        <row r="467">
          <cell r="B467" t="str">
            <v/>
          </cell>
        </row>
        <row r="468">
          <cell r="B468" t="str">
            <v/>
          </cell>
        </row>
        <row r="469">
          <cell r="B469" t="str">
            <v/>
          </cell>
        </row>
        <row r="470">
          <cell r="B470" t="str">
            <v/>
          </cell>
        </row>
        <row r="471">
          <cell r="B471" t="str">
            <v/>
          </cell>
        </row>
        <row r="472">
          <cell r="B472" t="str">
            <v/>
          </cell>
        </row>
        <row r="473">
          <cell r="B473" t="str">
            <v/>
          </cell>
        </row>
        <row r="474">
          <cell r="B474" t="str">
            <v/>
          </cell>
        </row>
        <row r="475">
          <cell r="B475" t="str">
            <v/>
          </cell>
        </row>
        <row r="476">
          <cell r="B476" t="str">
            <v/>
          </cell>
        </row>
        <row r="477">
          <cell r="B477" t="str">
            <v/>
          </cell>
        </row>
        <row r="478">
          <cell r="B478" t="str">
            <v/>
          </cell>
        </row>
        <row r="479">
          <cell r="B479" t="str">
            <v/>
          </cell>
        </row>
        <row r="480">
          <cell r="B480" t="str">
            <v/>
          </cell>
        </row>
        <row r="481">
          <cell r="B481" t="str">
            <v/>
          </cell>
        </row>
        <row r="482">
          <cell r="B482" t="str">
            <v/>
          </cell>
        </row>
        <row r="483">
          <cell r="B483" t="str">
            <v/>
          </cell>
        </row>
        <row r="484">
          <cell r="B484" t="str">
            <v/>
          </cell>
        </row>
        <row r="485">
          <cell r="B485" t="str">
            <v/>
          </cell>
        </row>
        <row r="486">
          <cell r="B486" t="str">
            <v/>
          </cell>
        </row>
        <row r="487">
          <cell r="B487" t="str">
            <v/>
          </cell>
        </row>
        <row r="488">
          <cell r="B488" t="str">
            <v/>
          </cell>
        </row>
        <row r="489">
          <cell r="B489" t="str">
            <v/>
          </cell>
        </row>
        <row r="490">
          <cell r="B490" t="str">
            <v/>
          </cell>
        </row>
        <row r="491">
          <cell r="B491" t="str">
            <v/>
          </cell>
        </row>
        <row r="492">
          <cell r="B492" t="str">
            <v/>
          </cell>
        </row>
        <row r="493">
          <cell r="B493" t="str">
            <v/>
          </cell>
        </row>
        <row r="494">
          <cell r="B494" t="str">
            <v/>
          </cell>
        </row>
        <row r="495">
          <cell r="B495" t="str">
            <v/>
          </cell>
        </row>
        <row r="496">
          <cell r="B496" t="str">
            <v/>
          </cell>
        </row>
        <row r="497">
          <cell r="B497" t="str">
            <v/>
          </cell>
        </row>
        <row r="498">
          <cell r="B498" t="str">
            <v/>
          </cell>
        </row>
        <row r="499">
          <cell r="B499" t="str">
            <v/>
          </cell>
        </row>
        <row r="500">
          <cell r="B500" t="str">
            <v/>
          </cell>
        </row>
        <row r="501">
          <cell r="B501" t="str">
            <v/>
          </cell>
        </row>
        <row r="502">
          <cell r="B502" t="str">
            <v/>
          </cell>
        </row>
        <row r="503">
          <cell r="B503" t="str">
            <v/>
          </cell>
        </row>
        <row r="504">
          <cell r="B504" t="str">
            <v/>
          </cell>
        </row>
        <row r="505">
          <cell r="B505" t="str">
            <v/>
          </cell>
        </row>
        <row r="506">
          <cell r="B506" t="str">
            <v/>
          </cell>
        </row>
        <row r="507">
          <cell r="B507" t="str">
            <v/>
          </cell>
        </row>
        <row r="508">
          <cell r="B508" t="str">
            <v/>
          </cell>
        </row>
        <row r="509">
          <cell r="B509" t="str">
            <v/>
          </cell>
        </row>
        <row r="510">
          <cell r="B510" t="str">
            <v/>
          </cell>
        </row>
        <row r="511">
          <cell r="B511" t="str">
            <v/>
          </cell>
        </row>
        <row r="512">
          <cell r="B512" t="str">
            <v/>
          </cell>
        </row>
        <row r="513">
          <cell r="B513" t="str">
            <v/>
          </cell>
        </row>
        <row r="514">
          <cell r="B514" t="str">
            <v/>
          </cell>
        </row>
        <row r="515">
          <cell r="B515" t="str">
            <v/>
          </cell>
        </row>
        <row r="516">
          <cell r="B516" t="str">
            <v/>
          </cell>
        </row>
        <row r="517">
          <cell r="B517" t="str">
            <v/>
          </cell>
        </row>
        <row r="518">
          <cell r="B518" t="str">
            <v/>
          </cell>
        </row>
        <row r="519">
          <cell r="B519" t="str">
            <v/>
          </cell>
        </row>
        <row r="520">
          <cell r="B520" t="str">
            <v/>
          </cell>
        </row>
        <row r="521">
          <cell r="B521" t="str">
            <v/>
          </cell>
        </row>
        <row r="522">
          <cell r="B522" t="str">
            <v/>
          </cell>
        </row>
        <row r="523">
          <cell r="B523" t="str">
            <v/>
          </cell>
        </row>
        <row r="524">
          <cell r="B524" t="str">
            <v/>
          </cell>
        </row>
        <row r="525">
          <cell r="B525" t="str">
            <v/>
          </cell>
        </row>
        <row r="526">
          <cell r="B526" t="str">
            <v/>
          </cell>
        </row>
        <row r="527">
          <cell r="B527" t="str">
            <v/>
          </cell>
        </row>
        <row r="528">
          <cell r="B528" t="str">
            <v/>
          </cell>
        </row>
        <row r="529">
          <cell r="B529" t="str">
            <v/>
          </cell>
        </row>
        <row r="530">
          <cell r="B530" t="str">
            <v/>
          </cell>
        </row>
        <row r="531">
          <cell r="B531" t="str">
            <v/>
          </cell>
        </row>
        <row r="532">
          <cell r="B532" t="str">
            <v/>
          </cell>
        </row>
        <row r="533">
          <cell r="B533" t="str">
            <v/>
          </cell>
        </row>
        <row r="534">
          <cell r="B534" t="str">
            <v/>
          </cell>
        </row>
        <row r="535">
          <cell r="B535" t="str">
            <v/>
          </cell>
        </row>
        <row r="536">
          <cell r="B536" t="str">
            <v/>
          </cell>
        </row>
        <row r="537">
          <cell r="B537" t="str">
            <v/>
          </cell>
        </row>
        <row r="538">
          <cell r="B538" t="str">
            <v/>
          </cell>
        </row>
        <row r="539">
          <cell r="B539" t="str">
            <v/>
          </cell>
        </row>
        <row r="540">
          <cell r="B540" t="str">
            <v/>
          </cell>
        </row>
        <row r="541">
          <cell r="B541" t="str">
            <v/>
          </cell>
        </row>
        <row r="542">
          <cell r="B542" t="str">
            <v/>
          </cell>
        </row>
        <row r="543">
          <cell r="B543" t="str">
            <v/>
          </cell>
        </row>
        <row r="544">
          <cell r="B544" t="str">
            <v/>
          </cell>
        </row>
        <row r="545">
          <cell r="B545" t="str">
            <v/>
          </cell>
        </row>
        <row r="546">
          <cell r="B546" t="str">
            <v/>
          </cell>
        </row>
        <row r="547">
          <cell r="B547" t="str">
            <v/>
          </cell>
        </row>
        <row r="548">
          <cell r="B548" t="str">
            <v/>
          </cell>
        </row>
        <row r="549">
          <cell r="B549" t="str">
            <v/>
          </cell>
        </row>
        <row r="550">
          <cell r="B550" t="str">
            <v/>
          </cell>
        </row>
        <row r="551">
          <cell r="B551" t="str">
            <v/>
          </cell>
        </row>
        <row r="552">
          <cell r="B552" t="str">
            <v/>
          </cell>
        </row>
        <row r="553">
          <cell r="B553" t="str">
            <v/>
          </cell>
        </row>
        <row r="554">
          <cell r="B554" t="str">
            <v/>
          </cell>
        </row>
        <row r="555">
          <cell r="B555" t="str">
            <v/>
          </cell>
        </row>
        <row r="556">
          <cell r="B556" t="str">
            <v/>
          </cell>
        </row>
        <row r="557">
          <cell r="B557" t="str">
            <v/>
          </cell>
        </row>
        <row r="558">
          <cell r="B558" t="str">
            <v/>
          </cell>
        </row>
        <row r="559">
          <cell r="B559" t="str">
            <v/>
          </cell>
        </row>
        <row r="560">
          <cell r="B560" t="str">
            <v/>
          </cell>
        </row>
        <row r="561">
          <cell r="B561" t="str">
            <v/>
          </cell>
        </row>
        <row r="562">
          <cell r="B562" t="str">
            <v/>
          </cell>
        </row>
        <row r="563">
          <cell r="B563" t="str">
            <v/>
          </cell>
        </row>
        <row r="564">
          <cell r="B564" t="str">
            <v/>
          </cell>
        </row>
        <row r="565">
          <cell r="B565" t="str">
            <v/>
          </cell>
        </row>
        <row r="566">
          <cell r="B566" t="str">
            <v/>
          </cell>
        </row>
        <row r="567">
          <cell r="B567" t="str">
            <v/>
          </cell>
        </row>
        <row r="568">
          <cell r="B568" t="str">
            <v/>
          </cell>
        </row>
        <row r="569">
          <cell r="B569" t="str">
            <v/>
          </cell>
        </row>
        <row r="570">
          <cell r="B570" t="str">
            <v/>
          </cell>
        </row>
        <row r="571">
          <cell r="B571" t="str">
            <v/>
          </cell>
        </row>
        <row r="572">
          <cell r="B572" t="str">
            <v/>
          </cell>
        </row>
        <row r="573">
          <cell r="B573" t="str">
            <v/>
          </cell>
        </row>
        <row r="574">
          <cell r="B574" t="str">
            <v/>
          </cell>
        </row>
        <row r="575">
          <cell r="B575" t="str">
            <v/>
          </cell>
        </row>
        <row r="576">
          <cell r="B576" t="str">
            <v/>
          </cell>
        </row>
        <row r="577">
          <cell r="B577" t="str">
            <v/>
          </cell>
        </row>
        <row r="578">
          <cell r="B578" t="str">
            <v/>
          </cell>
        </row>
        <row r="579">
          <cell r="B579" t="str">
            <v/>
          </cell>
        </row>
        <row r="580">
          <cell r="B580" t="str">
            <v/>
          </cell>
        </row>
        <row r="581">
          <cell r="B581" t="str">
            <v/>
          </cell>
        </row>
        <row r="582">
          <cell r="B582" t="str">
            <v/>
          </cell>
        </row>
        <row r="583">
          <cell r="B583" t="str">
            <v/>
          </cell>
        </row>
        <row r="584">
          <cell r="B584" t="str">
            <v/>
          </cell>
        </row>
        <row r="585">
          <cell r="B585" t="str">
            <v/>
          </cell>
        </row>
        <row r="586">
          <cell r="B586" t="str">
            <v/>
          </cell>
        </row>
        <row r="587">
          <cell r="B587" t="str">
            <v/>
          </cell>
        </row>
        <row r="588">
          <cell r="B588" t="str">
            <v/>
          </cell>
        </row>
        <row r="589">
          <cell r="B589" t="str">
            <v/>
          </cell>
        </row>
        <row r="590">
          <cell r="B590" t="str">
            <v/>
          </cell>
        </row>
        <row r="591">
          <cell r="B591" t="str">
            <v/>
          </cell>
        </row>
        <row r="592">
          <cell r="B592" t="str">
            <v/>
          </cell>
        </row>
        <row r="593">
          <cell r="B593" t="str">
            <v/>
          </cell>
        </row>
        <row r="594">
          <cell r="B594" t="str">
            <v/>
          </cell>
        </row>
        <row r="595">
          <cell r="B595" t="str">
            <v/>
          </cell>
        </row>
        <row r="596">
          <cell r="B596" t="str">
            <v/>
          </cell>
        </row>
        <row r="597">
          <cell r="B597" t="str">
            <v/>
          </cell>
        </row>
        <row r="598">
          <cell r="B598" t="str">
            <v/>
          </cell>
        </row>
        <row r="599">
          <cell r="B599" t="str">
            <v/>
          </cell>
        </row>
        <row r="600">
          <cell r="B600" t="str">
            <v/>
          </cell>
        </row>
        <row r="601">
          <cell r="B601" t="str">
            <v/>
          </cell>
        </row>
        <row r="602">
          <cell r="B602" t="str">
            <v/>
          </cell>
        </row>
        <row r="603">
          <cell r="B603" t="str">
            <v/>
          </cell>
        </row>
        <row r="604">
          <cell r="B604" t="str">
            <v/>
          </cell>
        </row>
        <row r="605">
          <cell r="B605" t="str">
            <v/>
          </cell>
        </row>
        <row r="606">
          <cell r="B606" t="str">
            <v/>
          </cell>
        </row>
        <row r="607">
          <cell r="B607" t="str">
            <v/>
          </cell>
        </row>
        <row r="608">
          <cell r="B608" t="str">
            <v/>
          </cell>
        </row>
        <row r="609">
          <cell r="B609" t="str">
            <v/>
          </cell>
        </row>
        <row r="610">
          <cell r="B610" t="str">
            <v/>
          </cell>
        </row>
        <row r="611">
          <cell r="B611" t="str">
            <v/>
          </cell>
        </row>
        <row r="612">
          <cell r="B612" t="str">
            <v/>
          </cell>
        </row>
        <row r="613">
          <cell r="B613" t="str">
            <v/>
          </cell>
        </row>
        <row r="614">
          <cell r="B614" t="str">
            <v/>
          </cell>
        </row>
        <row r="615">
          <cell r="B615" t="str">
            <v/>
          </cell>
        </row>
        <row r="616">
          <cell r="B616" t="str">
            <v/>
          </cell>
        </row>
        <row r="617">
          <cell r="B617" t="str">
            <v/>
          </cell>
        </row>
        <row r="618">
          <cell r="B618" t="str">
            <v/>
          </cell>
        </row>
        <row r="619">
          <cell r="B619" t="str">
            <v/>
          </cell>
        </row>
        <row r="620">
          <cell r="B620" t="str">
            <v/>
          </cell>
        </row>
        <row r="621">
          <cell r="B621" t="str">
            <v/>
          </cell>
        </row>
        <row r="622">
          <cell r="B622" t="str">
            <v/>
          </cell>
        </row>
        <row r="623">
          <cell r="B623" t="str">
            <v/>
          </cell>
        </row>
        <row r="624">
          <cell r="B624" t="str">
            <v/>
          </cell>
        </row>
        <row r="625">
          <cell r="B625" t="str">
            <v/>
          </cell>
        </row>
        <row r="626">
          <cell r="B626" t="str">
            <v/>
          </cell>
        </row>
        <row r="627">
          <cell r="B627" t="str">
            <v/>
          </cell>
        </row>
        <row r="628">
          <cell r="B628" t="str">
            <v/>
          </cell>
        </row>
        <row r="629">
          <cell r="B629" t="str">
            <v/>
          </cell>
        </row>
        <row r="630">
          <cell r="B630" t="str">
            <v/>
          </cell>
        </row>
        <row r="631">
          <cell r="B631" t="str">
            <v/>
          </cell>
        </row>
        <row r="632">
          <cell r="B632" t="str">
            <v/>
          </cell>
        </row>
        <row r="633">
          <cell r="B633" t="str">
            <v/>
          </cell>
        </row>
        <row r="634">
          <cell r="B634" t="str">
            <v/>
          </cell>
        </row>
        <row r="635">
          <cell r="B635" t="str">
            <v/>
          </cell>
        </row>
        <row r="636">
          <cell r="B636" t="str">
            <v/>
          </cell>
        </row>
        <row r="637">
          <cell r="B637" t="str">
            <v/>
          </cell>
        </row>
        <row r="638">
          <cell r="B638" t="str">
            <v/>
          </cell>
        </row>
        <row r="639">
          <cell r="B639" t="str">
            <v/>
          </cell>
        </row>
        <row r="640">
          <cell r="B640" t="str">
            <v/>
          </cell>
        </row>
        <row r="641">
          <cell r="B641" t="str">
            <v/>
          </cell>
        </row>
        <row r="642">
          <cell r="B642" t="str">
            <v/>
          </cell>
        </row>
        <row r="643">
          <cell r="B643" t="str">
            <v/>
          </cell>
        </row>
        <row r="644">
          <cell r="B644" t="str">
            <v/>
          </cell>
        </row>
        <row r="645">
          <cell r="B645" t="str">
            <v/>
          </cell>
        </row>
        <row r="646">
          <cell r="B646" t="str">
            <v/>
          </cell>
        </row>
        <row r="647">
          <cell r="B647" t="str">
            <v/>
          </cell>
        </row>
        <row r="648">
          <cell r="B648" t="str">
            <v/>
          </cell>
        </row>
        <row r="649">
          <cell r="B649" t="str">
            <v/>
          </cell>
        </row>
        <row r="650">
          <cell r="B650" t="str">
            <v/>
          </cell>
        </row>
        <row r="651">
          <cell r="B651" t="str">
            <v/>
          </cell>
        </row>
        <row r="652">
          <cell r="B652" t="str">
            <v/>
          </cell>
        </row>
        <row r="653">
          <cell r="B653" t="str">
            <v/>
          </cell>
        </row>
        <row r="654">
          <cell r="B654" t="str">
            <v/>
          </cell>
        </row>
        <row r="655">
          <cell r="B655" t="str">
            <v/>
          </cell>
        </row>
        <row r="656">
          <cell r="B656" t="str">
            <v/>
          </cell>
        </row>
        <row r="657">
          <cell r="B657" t="str">
            <v/>
          </cell>
        </row>
        <row r="658">
          <cell r="B658" t="str">
            <v/>
          </cell>
        </row>
        <row r="659">
          <cell r="B659" t="str">
            <v/>
          </cell>
        </row>
        <row r="660">
          <cell r="B660" t="str">
            <v/>
          </cell>
        </row>
        <row r="661">
          <cell r="B661" t="str">
            <v/>
          </cell>
        </row>
        <row r="662">
          <cell r="B662" t="str">
            <v/>
          </cell>
        </row>
        <row r="663">
          <cell r="B663" t="str">
            <v/>
          </cell>
        </row>
        <row r="664">
          <cell r="B664" t="str">
            <v/>
          </cell>
        </row>
        <row r="665">
          <cell r="B665" t="str">
            <v/>
          </cell>
        </row>
        <row r="666">
          <cell r="B666" t="str">
            <v/>
          </cell>
        </row>
        <row r="667">
          <cell r="B667" t="str">
            <v/>
          </cell>
        </row>
        <row r="668">
          <cell r="B668" t="str">
            <v/>
          </cell>
        </row>
        <row r="669">
          <cell r="B669" t="str">
            <v/>
          </cell>
        </row>
        <row r="670">
          <cell r="B670" t="str">
            <v/>
          </cell>
        </row>
        <row r="671">
          <cell r="B671" t="str">
            <v/>
          </cell>
        </row>
        <row r="672">
          <cell r="B672" t="str">
            <v/>
          </cell>
        </row>
        <row r="673">
          <cell r="B673" t="str">
            <v/>
          </cell>
        </row>
        <row r="674">
          <cell r="B674" t="str">
            <v/>
          </cell>
        </row>
        <row r="675">
          <cell r="B675" t="str">
            <v/>
          </cell>
        </row>
        <row r="676">
          <cell r="B676" t="str">
            <v/>
          </cell>
        </row>
        <row r="677">
          <cell r="B677" t="str">
            <v/>
          </cell>
        </row>
        <row r="678">
          <cell r="B678" t="str">
            <v/>
          </cell>
        </row>
        <row r="679">
          <cell r="B679" t="str">
            <v/>
          </cell>
        </row>
        <row r="680">
          <cell r="B680" t="str">
            <v/>
          </cell>
        </row>
        <row r="681">
          <cell r="B681" t="str">
            <v/>
          </cell>
        </row>
        <row r="682">
          <cell r="B682" t="str">
            <v/>
          </cell>
        </row>
        <row r="683">
          <cell r="B683" t="str">
            <v/>
          </cell>
        </row>
        <row r="684">
          <cell r="B684" t="str">
            <v/>
          </cell>
        </row>
        <row r="685">
          <cell r="B685" t="str">
            <v/>
          </cell>
        </row>
        <row r="686">
          <cell r="B686" t="str">
            <v/>
          </cell>
        </row>
        <row r="687">
          <cell r="B687" t="str">
            <v/>
          </cell>
        </row>
        <row r="688">
          <cell r="B688" t="str">
            <v/>
          </cell>
        </row>
        <row r="689">
          <cell r="B689" t="str">
            <v/>
          </cell>
        </row>
        <row r="690">
          <cell r="B690" t="str">
            <v/>
          </cell>
        </row>
        <row r="691">
          <cell r="B691" t="str">
            <v/>
          </cell>
        </row>
        <row r="692">
          <cell r="B692" t="str">
            <v/>
          </cell>
        </row>
        <row r="693">
          <cell r="B693" t="str">
            <v/>
          </cell>
        </row>
        <row r="694">
          <cell r="B694" t="str">
            <v/>
          </cell>
        </row>
        <row r="695">
          <cell r="B695" t="str">
            <v/>
          </cell>
        </row>
        <row r="696">
          <cell r="B696" t="str">
            <v/>
          </cell>
        </row>
        <row r="697">
          <cell r="B697" t="str">
            <v/>
          </cell>
        </row>
        <row r="698">
          <cell r="B698" t="str">
            <v/>
          </cell>
        </row>
        <row r="699">
          <cell r="B699" t="str">
            <v/>
          </cell>
        </row>
        <row r="700">
          <cell r="B700" t="str">
            <v/>
          </cell>
        </row>
        <row r="701">
          <cell r="B701" t="str">
            <v/>
          </cell>
        </row>
        <row r="702">
          <cell r="B702" t="str">
            <v/>
          </cell>
        </row>
        <row r="703">
          <cell r="B703" t="str">
            <v/>
          </cell>
        </row>
        <row r="704">
          <cell r="B704" t="str">
            <v/>
          </cell>
        </row>
      </sheetData>
      <sheetData sheetId="5">
        <row r="10">
          <cell r="P10" t="str">
            <v>Possible</v>
          </cell>
          <cell r="Q10" t="str">
            <v>Moderate</v>
          </cell>
          <cell r="AB10" t="str">
            <v>Unlikely</v>
          </cell>
          <cell r="AC10" t="str">
            <v>Negligible</v>
          </cell>
        </row>
        <row r="11">
          <cell r="P11" t="str">
            <v>Unlikely</v>
          </cell>
          <cell r="Q11" t="str">
            <v>Major</v>
          </cell>
          <cell r="AB11" t="str">
            <v>Unlikely</v>
          </cell>
          <cell r="AC11" t="str">
            <v>Minor</v>
          </cell>
        </row>
        <row r="12">
          <cell r="P12" t="str">
            <v>Possible</v>
          </cell>
          <cell r="Q12" t="str">
            <v>Catastrophic</v>
          </cell>
          <cell r="AB12" t="str">
            <v>Possible</v>
          </cell>
          <cell r="AC12" t="str">
            <v>Minor</v>
          </cell>
        </row>
        <row r="13">
          <cell r="P13" t="str">
            <v>Possible</v>
          </cell>
          <cell r="Q13" t="str">
            <v>Minor</v>
          </cell>
          <cell r="AB13" t="str">
            <v>Possible</v>
          </cell>
          <cell r="AC13" t="str">
            <v>Minor</v>
          </cell>
        </row>
        <row r="14">
          <cell r="P14" t="str">
            <v>Unlikely</v>
          </cell>
          <cell r="Q14" t="str">
            <v>Moderate</v>
          </cell>
          <cell r="AB14" t="str">
            <v>Rare</v>
          </cell>
          <cell r="AC14" t="str">
            <v>Negligible</v>
          </cell>
        </row>
        <row r="15">
          <cell r="P15" t="str">
            <v>Possible</v>
          </cell>
          <cell r="Q15" t="str">
            <v>Major</v>
          </cell>
          <cell r="AB15" t="str">
            <v>Possible</v>
          </cell>
          <cell r="AC15" t="str">
            <v>Negligible</v>
          </cell>
        </row>
        <row r="16">
          <cell r="P16" t="str">
            <v>Possible</v>
          </cell>
          <cell r="Q16" t="str">
            <v>Catastrophic</v>
          </cell>
        </row>
        <row r="17">
          <cell r="P17" t="str">
            <v>Possible</v>
          </cell>
          <cell r="Q17" t="str">
            <v>Minor</v>
          </cell>
        </row>
        <row r="18">
          <cell r="P18" t="str">
            <v>Possible</v>
          </cell>
          <cell r="Q18" t="str">
            <v>Catastrophic</v>
          </cell>
        </row>
        <row r="19">
          <cell r="P19" t="str">
            <v>Possible</v>
          </cell>
          <cell r="Q19" t="str">
            <v>Major</v>
          </cell>
        </row>
        <row r="20">
          <cell r="P20" t="str">
            <v>Possible</v>
          </cell>
          <cell r="Q20" t="str">
            <v>Catastrophic</v>
          </cell>
        </row>
        <row r="21">
          <cell r="P21" t="str">
            <v>Possible</v>
          </cell>
          <cell r="Q21" t="str">
            <v>Minor</v>
          </cell>
        </row>
        <row r="22">
          <cell r="P22" t="str">
            <v>Possible</v>
          </cell>
          <cell r="Q22" t="str">
            <v>Moderate</v>
          </cell>
        </row>
        <row r="23">
          <cell r="P23" t="str">
            <v>Possible</v>
          </cell>
          <cell r="Q23" t="str">
            <v>Major</v>
          </cell>
        </row>
        <row r="24">
          <cell r="P24" t="str">
            <v>Possible</v>
          </cell>
          <cell r="Q24" t="str">
            <v>Catastrophic</v>
          </cell>
        </row>
        <row r="25">
          <cell r="P25" t="str">
            <v>Unlikely</v>
          </cell>
          <cell r="Q25" t="str">
            <v>Moderate</v>
          </cell>
        </row>
        <row r="26">
          <cell r="P26" t="str">
            <v>Unlikely</v>
          </cell>
          <cell r="Q26" t="str">
            <v>Major</v>
          </cell>
        </row>
        <row r="27">
          <cell r="P27" t="str">
            <v>Possible</v>
          </cell>
          <cell r="Q27" t="str">
            <v>Catastrophic</v>
          </cell>
        </row>
        <row r="28">
          <cell r="P28" t="str">
            <v>Possible</v>
          </cell>
          <cell r="Q28" t="str">
            <v>Minor</v>
          </cell>
        </row>
        <row r="29">
          <cell r="P29" t="str">
            <v>Unlikely</v>
          </cell>
          <cell r="Q29" t="str">
            <v>Moderate</v>
          </cell>
        </row>
        <row r="30">
          <cell r="P30" t="str">
            <v>Possible</v>
          </cell>
          <cell r="Q30" t="str">
            <v>Major</v>
          </cell>
        </row>
        <row r="31">
          <cell r="P31" t="str">
            <v>Unlikely</v>
          </cell>
          <cell r="Q31" t="str">
            <v>Catastrophic</v>
          </cell>
        </row>
        <row r="32">
          <cell r="P32" t="str">
            <v>Unlikely</v>
          </cell>
          <cell r="Q32" t="str">
            <v>Catastrophic</v>
          </cell>
        </row>
        <row r="33">
          <cell r="P33" t="str">
            <v>Possible</v>
          </cell>
          <cell r="Q33" t="str">
            <v>Catastrophic</v>
          </cell>
        </row>
        <row r="34">
          <cell r="P34" t="str">
            <v>Likely</v>
          </cell>
          <cell r="Q34" t="str">
            <v>Moderate</v>
          </cell>
        </row>
        <row r="35">
          <cell r="P35" t="str">
            <v>Possible</v>
          </cell>
          <cell r="Q35" t="str">
            <v>Minor</v>
          </cell>
        </row>
        <row r="36">
          <cell r="P36" t="str">
            <v>Likely</v>
          </cell>
          <cell r="Q36" t="str">
            <v>Moderate</v>
          </cell>
        </row>
        <row r="37">
          <cell r="P37" t="str">
            <v>Likely</v>
          </cell>
          <cell r="Q37" t="str">
            <v>Moderate</v>
          </cell>
        </row>
        <row r="38">
          <cell r="P38" t="str">
            <v>Possible</v>
          </cell>
          <cell r="Q38" t="str">
            <v>Major</v>
          </cell>
        </row>
        <row r="39">
          <cell r="P39" t="str">
            <v>Likely</v>
          </cell>
          <cell r="Q39" t="str">
            <v>Moderate</v>
          </cell>
        </row>
        <row r="40">
          <cell r="P40" t="str">
            <v>Possible</v>
          </cell>
          <cell r="Q40" t="str">
            <v>Minor</v>
          </cell>
        </row>
        <row r="41">
          <cell r="P41" t="str">
            <v>Possible</v>
          </cell>
          <cell r="Q41" t="str">
            <v>Moderate</v>
          </cell>
        </row>
        <row r="42">
          <cell r="P42" t="str">
            <v>Possible</v>
          </cell>
          <cell r="Q42" t="str">
            <v>Major</v>
          </cell>
        </row>
        <row r="43">
          <cell r="P43" t="str">
            <v>Likely</v>
          </cell>
          <cell r="Q43" t="str">
            <v>Moderate</v>
          </cell>
        </row>
        <row r="44">
          <cell r="P44" t="str">
            <v>Likely</v>
          </cell>
          <cell r="Q44" t="str">
            <v>Moderate</v>
          </cell>
        </row>
        <row r="45">
          <cell r="P45" t="str">
            <v>Likely</v>
          </cell>
          <cell r="Q45" t="str">
            <v>Moderate</v>
          </cell>
        </row>
        <row r="46">
          <cell r="P46" t="str">
            <v>Possible</v>
          </cell>
          <cell r="Q46" t="str">
            <v>Major</v>
          </cell>
        </row>
        <row r="47">
          <cell r="P47" t="str">
            <v>Likely</v>
          </cell>
          <cell r="Q47" t="str">
            <v>Moderate</v>
          </cell>
        </row>
        <row r="48">
          <cell r="P48" t="str">
            <v>Possible</v>
          </cell>
          <cell r="Q48" t="str">
            <v>Minor</v>
          </cell>
        </row>
        <row r="49">
          <cell r="P49" t="str">
            <v>Possible</v>
          </cell>
          <cell r="Q49" t="str">
            <v>Minor</v>
          </cell>
        </row>
        <row r="50">
          <cell r="P50" t="str">
            <v>Possible</v>
          </cell>
          <cell r="Q50" t="str">
            <v>Moderate</v>
          </cell>
        </row>
        <row r="51">
          <cell r="P51" t="str">
            <v>Possible</v>
          </cell>
          <cell r="Q51" t="str">
            <v>Major</v>
          </cell>
        </row>
        <row r="52">
          <cell r="P52" t="str">
            <v>Possible</v>
          </cell>
          <cell r="Q52" t="str">
            <v>Catastrophic</v>
          </cell>
        </row>
        <row r="53">
          <cell r="P53" t="str">
            <v>Likely</v>
          </cell>
          <cell r="Q53" t="str">
            <v>Minor</v>
          </cell>
        </row>
        <row r="54">
          <cell r="P54" t="str">
            <v>Likely</v>
          </cell>
          <cell r="Q54" t="str">
            <v>Moderate</v>
          </cell>
        </row>
        <row r="55">
          <cell r="P55" t="str">
            <v>Likely</v>
          </cell>
          <cell r="Q55" t="str">
            <v>Moderate</v>
          </cell>
        </row>
        <row r="56">
          <cell r="P56" t="str">
            <v>Possible</v>
          </cell>
          <cell r="Q56" t="str">
            <v>Moderate</v>
          </cell>
        </row>
        <row r="57">
          <cell r="P57" t="str">
            <v>Likely</v>
          </cell>
          <cell r="Q57" t="str">
            <v>Minor</v>
          </cell>
        </row>
        <row r="58">
          <cell r="P58" t="str">
            <v>Possible</v>
          </cell>
          <cell r="Q58" t="str">
            <v>Minor</v>
          </cell>
        </row>
        <row r="59">
          <cell r="P59" t="str">
            <v>Possible</v>
          </cell>
          <cell r="Q59" t="str">
            <v>Minor</v>
          </cell>
        </row>
        <row r="60">
          <cell r="P60" t="str">
            <v>Possible</v>
          </cell>
          <cell r="Q60" t="str">
            <v>Moderate</v>
          </cell>
        </row>
        <row r="61">
          <cell r="P61" t="str">
            <v>Possible</v>
          </cell>
          <cell r="Q61" t="str">
            <v>Moderate</v>
          </cell>
        </row>
        <row r="62">
          <cell r="P62" t="str">
            <v>Possible</v>
          </cell>
          <cell r="Q62" t="str">
            <v>Major</v>
          </cell>
        </row>
        <row r="63">
          <cell r="P63" t="str">
            <v>Possible</v>
          </cell>
          <cell r="Q63" t="str">
            <v>Catastrophic</v>
          </cell>
        </row>
        <row r="64">
          <cell r="P64" t="str">
            <v>Likely</v>
          </cell>
          <cell r="Q64" t="str">
            <v>Major</v>
          </cell>
        </row>
        <row r="65">
          <cell r="P65" t="str">
            <v>Possible</v>
          </cell>
          <cell r="Q65" t="str">
            <v>Major</v>
          </cell>
        </row>
        <row r="66">
          <cell r="P66" t="str">
            <v>Likely</v>
          </cell>
          <cell r="Q66" t="str">
            <v>Major</v>
          </cell>
        </row>
        <row r="67">
          <cell r="P67" t="str">
            <v>Likely</v>
          </cell>
          <cell r="Q67" t="str">
            <v>Minor</v>
          </cell>
        </row>
        <row r="68">
          <cell r="P68" t="str">
            <v>Possible</v>
          </cell>
          <cell r="Q68" t="str">
            <v>Moderate</v>
          </cell>
        </row>
        <row r="69">
          <cell r="P69" t="str">
            <v>Likely</v>
          </cell>
          <cell r="Q69" t="str">
            <v>Minor</v>
          </cell>
        </row>
        <row r="70">
          <cell r="P70" t="str">
            <v>Possible</v>
          </cell>
          <cell r="Q70" t="str">
            <v>Major</v>
          </cell>
        </row>
        <row r="71">
          <cell r="P71" t="str">
            <v>Likely</v>
          </cell>
          <cell r="Q71" t="str">
            <v>Minor</v>
          </cell>
        </row>
        <row r="72">
          <cell r="P72" t="str">
            <v>Likely</v>
          </cell>
          <cell r="Q72" t="str">
            <v>Minor</v>
          </cell>
        </row>
        <row r="73">
          <cell r="P73" t="str">
            <v>Possible</v>
          </cell>
          <cell r="Q73" t="str">
            <v>Moderate</v>
          </cell>
        </row>
        <row r="74">
          <cell r="P74" t="str">
            <v>Possible</v>
          </cell>
          <cell r="Q74" t="str">
            <v>Catastrophic</v>
          </cell>
        </row>
        <row r="75">
          <cell r="P75" t="str">
            <v>Likely</v>
          </cell>
          <cell r="Q75" t="str">
            <v>Minor</v>
          </cell>
        </row>
        <row r="76">
          <cell r="P76" t="str">
            <v>Possible</v>
          </cell>
          <cell r="Q76" t="str">
            <v>Moderate</v>
          </cell>
        </row>
        <row r="77">
          <cell r="P77" t="str">
            <v>Possible</v>
          </cell>
          <cell r="Q77" t="str">
            <v>Minor</v>
          </cell>
        </row>
        <row r="78">
          <cell r="P78" t="str">
            <v/>
          </cell>
          <cell r="Q78" t="str">
            <v/>
          </cell>
        </row>
        <row r="79">
          <cell r="P79" t="str">
            <v/>
          </cell>
          <cell r="Q79" t="str">
            <v/>
          </cell>
        </row>
        <row r="80">
          <cell r="P80" t="str">
            <v/>
          </cell>
          <cell r="Q80" t="str">
            <v/>
          </cell>
        </row>
        <row r="81">
          <cell r="P81" t="str">
            <v/>
          </cell>
          <cell r="Q81" t="str">
            <v/>
          </cell>
        </row>
        <row r="82">
          <cell r="P82" t="str">
            <v/>
          </cell>
          <cell r="Q82" t="str">
            <v/>
          </cell>
        </row>
        <row r="83">
          <cell r="P83" t="str">
            <v/>
          </cell>
          <cell r="Q83" t="str">
            <v/>
          </cell>
        </row>
        <row r="84">
          <cell r="P84" t="str">
            <v/>
          </cell>
          <cell r="Q84" t="str">
            <v/>
          </cell>
        </row>
        <row r="85">
          <cell r="P85" t="str">
            <v/>
          </cell>
          <cell r="Q85" t="str">
            <v/>
          </cell>
        </row>
        <row r="86">
          <cell r="P86" t="str">
            <v/>
          </cell>
          <cell r="Q86" t="str">
            <v/>
          </cell>
        </row>
        <row r="87">
          <cell r="P87" t="str">
            <v/>
          </cell>
          <cell r="Q87" t="str">
            <v/>
          </cell>
        </row>
        <row r="88">
          <cell r="P88" t="str">
            <v/>
          </cell>
          <cell r="Q88" t="str">
            <v/>
          </cell>
        </row>
        <row r="89">
          <cell r="P89" t="str">
            <v/>
          </cell>
          <cell r="Q89" t="str">
            <v/>
          </cell>
        </row>
        <row r="90">
          <cell r="P90" t="str">
            <v/>
          </cell>
          <cell r="Q90" t="str">
            <v/>
          </cell>
        </row>
        <row r="91">
          <cell r="P91" t="str">
            <v/>
          </cell>
          <cell r="Q91" t="str">
            <v/>
          </cell>
        </row>
        <row r="92">
          <cell r="P92" t="str">
            <v/>
          </cell>
          <cell r="Q92" t="str">
            <v/>
          </cell>
        </row>
        <row r="93">
          <cell r="P93" t="str">
            <v/>
          </cell>
          <cell r="Q93" t="str">
            <v/>
          </cell>
        </row>
        <row r="94">
          <cell r="P94" t="str">
            <v/>
          </cell>
          <cell r="Q94" t="str">
            <v/>
          </cell>
        </row>
        <row r="95">
          <cell r="P95" t="str">
            <v/>
          </cell>
          <cell r="Q95" t="str">
            <v/>
          </cell>
        </row>
        <row r="96">
          <cell r="P96" t="str">
            <v/>
          </cell>
          <cell r="Q96" t="str">
            <v/>
          </cell>
        </row>
        <row r="97">
          <cell r="P97" t="str">
            <v/>
          </cell>
          <cell r="Q97" t="str">
            <v/>
          </cell>
        </row>
        <row r="98">
          <cell r="P98" t="str">
            <v/>
          </cell>
          <cell r="Q98" t="str">
            <v/>
          </cell>
        </row>
        <row r="99">
          <cell r="P99" t="str">
            <v/>
          </cell>
          <cell r="Q99" t="str">
            <v/>
          </cell>
        </row>
        <row r="100">
          <cell r="P100" t="str">
            <v/>
          </cell>
          <cell r="Q100" t="str">
            <v/>
          </cell>
        </row>
        <row r="101">
          <cell r="P101" t="str">
            <v/>
          </cell>
          <cell r="Q101" t="str">
            <v/>
          </cell>
        </row>
        <row r="102">
          <cell r="P102" t="str">
            <v/>
          </cell>
          <cell r="Q102" t="str">
            <v/>
          </cell>
        </row>
        <row r="103">
          <cell r="P103" t="str">
            <v/>
          </cell>
          <cell r="Q103" t="str">
            <v/>
          </cell>
        </row>
        <row r="104">
          <cell r="P104" t="str">
            <v/>
          </cell>
          <cell r="Q104" t="str">
            <v/>
          </cell>
        </row>
        <row r="105">
          <cell r="P105" t="str">
            <v/>
          </cell>
          <cell r="Q105" t="str">
            <v/>
          </cell>
        </row>
        <row r="106">
          <cell r="P106" t="str">
            <v/>
          </cell>
          <cell r="Q106" t="str">
            <v/>
          </cell>
        </row>
        <row r="107">
          <cell r="P107" t="str">
            <v/>
          </cell>
          <cell r="Q107" t="str">
            <v/>
          </cell>
        </row>
        <row r="108">
          <cell r="P108" t="str">
            <v/>
          </cell>
          <cell r="Q108" t="str">
            <v/>
          </cell>
        </row>
        <row r="109">
          <cell r="P109" t="str">
            <v/>
          </cell>
          <cell r="Q109" t="str">
            <v/>
          </cell>
        </row>
        <row r="110">
          <cell r="P110" t="str">
            <v/>
          </cell>
          <cell r="Q110" t="str">
            <v/>
          </cell>
        </row>
        <row r="111">
          <cell r="P111" t="str">
            <v/>
          </cell>
          <cell r="Q111" t="str">
            <v/>
          </cell>
        </row>
        <row r="112">
          <cell r="P112" t="str">
            <v/>
          </cell>
          <cell r="Q112" t="str">
            <v/>
          </cell>
        </row>
        <row r="113">
          <cell r="P113" t="str">
            <v/>
          </cell>
          <cell r="Q113" t="str">
            <v/>
          </cell>
        </row>
        <row r="114">
          <cell r="P114" t="str">
            <v/>
          </cell>
          <cell r="Q114" t="str">
            <v/>
          </cell>
        </row>
        <row r="115">
          <cell r="P115" t="str">
            <v/>
          </cell>
          <cell r="Q115" t="str">
            <v/>
          </cell>
        </row>
        <row r="116">
          <cell r="P116" t="str">
            <v/>
          </cell>
          <cell r="Q116" t="str">
            <v/>
          </cell>
        </row>
        <row r="117">
          <cell r="P117" t="str">
            <v/>
          </cell>
          <cell r="Q117" t="str">
            <v/>
          </cell>
        </row>
        <row r="118">
          <cell r="P118" t="str">
            <v/>
          </cell>
          <cell r="Q118" t="str">
            <v/>
          </cell>
        </row>
        <row r="119">
          <cell r="P119" t="str">
            <v/>
          </cell>
          <cell r="Q119" t="str">
            <v/>
          </cell>
        </row>
        <row r="120">
          <cell r="P120" t="str">
            <v/>
          </cell>
          <cell r="Q120" t="str">
            <v/>
          </cell>
        </row>
        <row r="121">
          <cell r="P121" t="str">
            <v/>
          </cell>
          <cell r="Q121" t="str">
            <v/>
          </cell>
        </row>
        <row r="122">
          <cell r="P122" t="str">
            <v/>
          </cell>
          <cell r="Q122" t="str">
            <v/>
          </cell>
        </row>
        <row r="123">
          <cell r="P123" t="str">
            <v/>
          </cell>
          <cell r="Q123" t="str">
            <v/>
          </cell>
        </row>
        <row r="124">
          <cell r="P124" t="str">
            <v/>
          </cell>
          <cell r="Q124" t="str">
            <v/>
          </cell>
        </row>
        <row r="125">
          <cell r="P125" t="str">
            <v/>
          </cell>
          <cell r="Q125" t="str">
            <v/>
          </cell>
        </row>
        <row r="126">
          <cell r="P126" t="str">
            <v/>
          </cell>
          <cell r="Q126" t="str">
            <v/>
          </cell>
        </row>
        <row r="127">
          <cell r="P127" t="str">
            <v/>
          </cell>
          <cell r="Q127" t="str">
            <v/>
          </cell>
        </row>
        <row r="128">
          <cell r="P128" t="str">
            <v/>
          </cell>
          <cell r="Q128" t="str">
            <v/>
          </cell>
        </row>
        <row r="129">
          <cell r="P129" t="str">
            <v/>
          </cell>
          <cell r="Q129" t="str">
            <v/>
          </cell>
        </row>
        <row r="130">
          <cell r="P130" t="str">
            <v/>
          </cell>
          <cell r="Q130" t="str">
            <v/>
          </cell>
        </row>
        <row r="131">
          <cell r="P131" t="str">
            <v/>
          </cell>
          <cell r="Q131" t="str">
            <v/>
          </cell>
        </row>
        <row r="132">
          <cell r="P132" t="str">
            <v/>
          </cell>
          <cell r="Q132" t="str">
            <v/>
          </cell>
        </row>
        <row r="133">
          <cell r="P133" t="str">
            <v/>
          </cell>
          <cell r="Q133" t="str">
            <v/>
          </cell>
        </row>
        <row r="134">
          <cell r="P134" t="str">
            <v/>
          </cell>
          <cell r="Q134" t="str">
            <v/>
          </cell>
        </row>
        <row r="135">
          <cell r="P135" t="str">
            <v/>
          </cell>
          <cell r="Q135" t="str">
            <v/>
          </cell>
        </row>
        <row r="136">
          <cell r="P136" t="str">
            <v/>
          </cell>
          <cell r="Q136" t="str">
            <v/>
          </cell>
        </row>
        <row r="137">
          <cell r="P137" t="str">
            <v/>
          </cell>
          <cell r="Q137" t="str">
            <v/>
          </cell>
        </row>
        <row r="138">
          <cell r="P138" t="str">
            <v/>
          </cell>
          <cell r="Q138" t="str">
            <v/>
          </cell>
        </row>
        <row r="139">
          <cell r="P139" t="str">
            <v/>
          </cell>
          <cell r="Q139" t="str">
            <v/>
          </cell>
        </row>
        <row r="140">
          <cell r="P140" t="str">
            <v/>
          </cell>
          <cell r="Q140" t="str">
            <v/>
          </cell>
        </row>
        <row r="141">
          <cell r="P141" t="str">
            <v/>
          </cell>
          <cell r="Q141" t="str">
            <v/>
          </cell>
        </row>
        <row r="142">
          <cell r="P142" t="str">
            <v/>
          </cell>
          <cell r="Q142" t="str">
            <v/>
          </cell>
        </row>
        <row r="143">
          <cell r="P143" t="str">
            <v/>
          </cell>
          <cell r="Q143" t="str">
            <v/>
          </cell>
        </row>
        <row r="144">
          <cell r="P144" t="str">
            <v/>
          </cell>
          <cell r="Q144" t="str">
            <v/>
          </cell>
        </row>
        <row r="145">
          <cell r="P145" t="str">
            <v/>
          </cell>
          <cell r="Q145" t="str">
            <v/>
          </cell>
        </row>
        <row r="146">
          <cell r="P146" t="str">
            <v/>
          </cell>
          <cell r="Q146" t="str">
            <v/>
          </cell>
        </row>
        <row r="147">
          <cell r="P147" t="str">
            <v/>
          </cell>
          <cell r="Q147" t="str">
            <v/>
          </cell>
        </row>
        <row r="148">
          <cell r="P148" t="str">
            <v/>
          </cell>
          <cell r="Q148" t="str">
            <v/>
          </cell>
        </row>
        <row r="149">
          <cell r="P149" t="str">
            <v/>
          </cell>
          <cell r="Q149" t="str">
            <v/>
          </cell>
        </row>
        <row r="150">
          <cell r="P150" t="str">
            <v/>
          </cell>
          <cell r="Q150" t="str">
            <v/>
          </cell>
        </row>
        <row r="151">
          <cell r="P151" t="str">
            <v/>
          </cell>
          <cell r="Q151" t="str">
            <v/>
          </cell>
        </row>
        <row r="152">
          <cell r="P152" t="str">
            <v/>
          </cell>
          <cell r="Q152" t="str">
            <v/>
          </cell>
        </row>
        <row r="153">
          <cell r="P153" t="str">
            <v/>
          </cell>
          <cell r="Q153" t="str">
            <v/>
          </cell>
        </row>
        <row r="154">
          <cell r="P154" t="str">
            <v/>
          </cell>
          <cell r="Q154" t="str">
            <v/>
          </cell>
        </row>
        <row r="155">
          <cell r="P155" t="str">
            <v/>
          </cell>
          <cell r="Q155" t="str">
            <v/>
          </cell>
        </row>
        <row r="156">
          <cell r="P156" t="str">
            <v/>
          </cell>
          <cell r="Q156" t="str">
            <v/>
          </cell>
        </row>
        <row r="157">
          <cell r="P157" t="str">
            <v/>
          </cell>
          <cell r="Q157" t="str">
            <v/>
          </cell>
        </row>
        <row r="158">
          <cell r="P158" t="str">
            <v/>
          </cell>
          <cell r="Q158" t="str">
            <v/>
          </cell>
        </row>
        <row r="159">
          <cell r="P159" t="str">
            <v/>
          </cell>
          <cell r="Q159" t="str">
            <v/>
          </cell>
        </row>
        <row r="160">
          <cell r="P160" t="str">
            <v/>
          </cell>
          <cell r="Q160" t="str">
            <v/>
          </cell>
        </row>
      </sheetData>
      <sheetData sheetId="6"/>
      <sheetData sheetId="7">
        <row r="10">
          <cell r="M10" t="str">
            <v>Negligible</v>
          </cell>
          <cell r="N10" t="str">
            <v>Minor</v>
          </cell>
          <cell r="O10" t="str">
            <v>Moderate</v>
          </cell>
          <cell r="P10" t="str">
            <v>Major</v>
          </cell>
          <cell r="Q10" t="str">
            <v>Catastrophic</v>
          </cell>
          <cell r="Z10" t="str">
            <v>Negligible</v>
          </cell>
          <cell r="AA10" t="str">
            <v>Minor</v>
          </cell>
          <cell r="AB10" t="str">
            <v>Moderate</v>
          </cell>
          <cell r="AC10" t="str">
            <v>Major</v>
          </cell>
          <cell r="AD10" t="str">
            <v>Catastrophic</v>
          </cell>
        </row>
        <row r="12">
          <cell r="K12" t="str">
            <v>Almost Certain</v>
          </cell>
          <cell r="M12">
            <v>5</v>
          </cell>
          <cell r="N12">
            <v>10</v>
          </cell>
          <cell r="O12">
            <v>15</v>
          </cell>
          <cell r="P12">
            <v>20</v>
          </cell>
          <cell r="Q12">
            <v>25</v>
          </cell>
          <cell r="X12" t="str">
            <v>Almost Certain</v>
          </cell>
          <cell r="Z12" t="str">
            <v>Low</v>
          </cell>
          <cell r="AA12" t="str">
            <v>Medium</v>
          </cell>
          <cell r="AB12" t="str">
            <v>High</v>
          </cell>
          <cell r="AC12" t="str">
            <v>Critical</v>
          </cell>
          <cell r="AD12" t="str">
            <v>Critical</v>
          </cell>
        </row>
        <row r="13">
          <cell r="K13" t="str">
            <v>Likely</v>
          </cell>
          <cell r="M13">
            <v>4</v>
          </cell>
          <cell r="N13">
            <v>8</v>
          </cell>
          <cell r="O13">
            <v>12</v>
          </cell>
          <cell r="P13">
            <v>16</v>
          </cell>
          <cell r="Q13">
            <v>20</v>
          </cell>
          <cell r="X13" t="str">
            <v>Likely</v>
          </cell>
          <cell r="Z13" t="str">
            <v>Low</v>
          </cell>
          <cell r="AA13" t="str">
            <v>Medium</v>
          </cell>
          <cell r="AB13" t="str">
            <v>Medium</v>
          </cell>
          <cell r="AC13" t="str">
            <v>High</v>
          </cell>
          <cell r="AD13" t="str">
            <v>Critical</v>
          </cell>
        </row>
        <row r="14">
          <cell r="B14" t="str">
            <v>Threat and Risk Assessment Identified Risk</v>
          </cell>
          <cell r="K14" t="str">
            <v>Possible</v>
          </cell>
          <cell r="M14">
            <v>3</v>
          </cell>
          <cell r="N14">
            <v>6</v>
          </cell>
          <cell r="O14">
            <v>9</v>
          </cell>
          <cell r="P14">
            <v>12</v>
          </cell>
          <cell r="Q14">
            <v>15</v>
          </cell>
          <cell r="X14" t="str">
            <v>Possible</v>
          </cell>
          <cell r="Z14" t="str">
            <v>Very Low</v>
          </cell>
          <cell r="AA14" t="str">
            <v>Medium</v>
          </cell>
          <cell r="AB14" t="str">
            <v>Medium</v>
          </cell>
          <cell r="AC14" t="str">
            <v>Medium</v>
          </cell>
          <cell r="AD14" t="str">
            <v>High</v>
          </cell>
        </row>
        <row r="15">
          <cell r="B15" t="str">
            <v>Mitigation Effectiveness/Threat Modeling Identified Risk</v>
          </cell>
          <cell r="K15" t="str">
            <v>Unlikely</v>
          </cell>
          <cell r="M15">
            <v>2</v>
          </cell>
          <cell r="N15">
            <v>4</v>
          </cell>
          <cell r="O15">
            <v>6</v>
          </cell>
          <cell r="P15">
            <v>8</v>
          </cell>
          <cell r="Q15">
            <v>10</v>
          </cell>
          <cell r="X15" t="str">
            <v>Unlikely</v>
          </cell>
          <cell r="Z15" t="str">
            <v>Very Low</v>
          </cell>
          <cell r="AA15" t="str">
            <v>Low</v>
          </cell>
          <cell r="AB15" t="str">
            <v>Medium</v>
          </cell>
          <cell r="AC15" t="str">
            <v>Medium</v>
          </cell>
          <cell r="AD15" t="str">
            <v>Medium</v>
          </cell>
        </row>
        <row r="16">
          <cell r="B16" t="str">
            <v>Policy Exception</v>
          </cell>
          <cell r="K16" t="str">
            <v>Rare</v>
          </cell>
          <cell r="M16">
            <v>1</v>
          </cell>
          <cell r="N16">
            <v>2</v>
          </cell>
          <cell r="O16">
            <v>3</v>
          </cell>
          <cell r="P16">
            <v>4</v>
          </cell>
          <cell r="Q16">
            <v>5</v>
          </cell>
          <cell r="X16" t="str">
            <v>Rare</v>
          </cell>
          <cell r="Z16" t="str">
            <v>Very Low</v>
          </cell>
          <cell r="AA16" t="str">
            <v>Very Low</v>
          </cell>
          <cell r="AB16" t="str">
            <v>Very Low</v>
          </cell>
          <cell r="AC16" t="str">
            <v>Low</v>
          </cell>
          <cell r="AD16" t="str">
            <v>Low</v>
          </cell>
        </row>
        <row r="17">
          <cell r="B17" t="str">
            <v>Policy Repeat Violator</v>
          </cell>
        </row>
        <row r="18">
          <cell r="B18" t="str">
            <v>Compliance-Based Risk</v>
          </cell>
        </row>
        <row r="19">
          <cell r="B19" t="str">
            <v>External Audit Finding</v>
          </cell>
        </row>
        <row r="20">
          <cell r="B20" t="str">
            <v>Internal Audit Finding</v>
          </cell>
        </row>
        <row r="21">
          <cell r="B21" t="str">
            <v>Penetration Test Major Finding</v>
          </cell>
        </row>
        <row r="22">
          <cell r="B22" t="str">
            <v>Vendor/Third-Party Risk</v>
          </cell>
        </row>
        <row r="23">
          <cell r="B23" t="str">
            <v>DR/BCP Test Failure Risk</v>
          </cell>
        </row>
        <row r="24">
          <cell r="B24" t="str">
            <v>Major Vulnerability/Incident-Related Risk</v>
          </cell>
        </row>
        <row r="25">
          <cell r="B25" t="str">
            <v>Other</v>
          </cell>
        </row>
        <row r="28">
          <cell r="B28" t="str">
            <v>No Risk Exists</v>
          </cell>
        </row>
        <row r="29">
          <cell r="B29" t="str">
            <v>Formally Accept the Risk</v>
          </cell>
        </row>
        <row r="30">
          <cell r="B30" t="str">
            <v>Transfer the Risk</v>
          </cell>
        </row>
        <row r="31">
          <cell r="B31" t="str">
            <v>Mitigate the Risk</v>
          </cell>
        </row>
        <row r="32">
          <cell r="B32" t="str">
            <v>Terminate the Risk</v>
          </cell>
        </row>
        <row r="33">
          <cell r="B33" t="str">
            <v>No New Actions Needed</v>
          </cell>
        </row>
        <row r="34">
          <cell r="B34" t="str">
            <v>Need More Information</v>
          </cell>
          <cell r="AB34" t="str">
            <v>TRA1.1</v>
          </cell>
          <cell r="AJ34" t="str">
            <v>TRA1.3</v>
          </cell>
        </row>
        <row r="35">
          <cell r="AB35" t="str">
            <v>TRA1.2</v>
          </cell>
          <cell r="AJ35" t="str">
            <v>TRA1.4</v>
          </cell>
        </row>
        <row r="36">
          <cell r="AB36" t="str">
            <v>TRA1.3</v>
          </cell>
          <cell r="AJ36" t="str">
            <v>TRA1.5</v>
          </cell>
        </row>
        <row r="37">
          <cell r="B37" t="str">
            <v>Financial</v>
          </cell>
          <cell r="AB37" t="str">
            <v>TRA1.4</v>
          </cell>
          <cell r="AJ37" t="str">
            <v>TRA1.7</v>
          </cell>
        </row>
        <row r="38">
          <cell r="B38" t="str">
            <v>Nonfinancial</v>
          </cell>
          <cell r="AB38" t="str">
            <v>TRA1.5</v>
          </cell>
          <cell r="AJ38" t="str">
            <v>TRA1.8</v>
          </cell>
        </row>
        <row r="39">
          <cell r="B39" t="str">
            <v>Reputational</v>
          </cell>
          <cell r="AB39" t="str">
            <v>TRA1.6</v>
          </cell>
          <cell r="AJ39" t="str">
            <v>TRA1.9</v>
          </cell>
        </row>
        <row r="40">
          <cell r="B40" t="str">
            <v>Strategic</v>
          </cell>
          <cell r="AB40" t="str">
            <v>TRA1.7</v>
          </cell>
          <cell r="AJ40" t="str">
            <v>TRA1.10</v>
          </cell>
        </row>
        <row r="41">
          <cell r="B41" t="str">
            <v>Sustainability</v>
          </cell>
          <cell r="AB41" t="str">
            <v>TRA1.8</v>
          </cell>
          <cell r="AJ41" t="str">
            <v>TRA1.12</v>
          </cell>
        </row>
        <row r="42">
          <cell r="B42" t="str">
            <v>Talent</v>
          </cell>
          <cell r="AB42" t="str">
            <v>TRA1.9</v>
          </cell>
          <cell r="AJ42" t="str">
            <v>TRA1.13</v>
          </cell>
        </row>
        <row r="43">
          <cell r="B43" t="str">
            <v>Advanced Analytics</v>
          </cell>
          <cell r="AB43" t="str">
            <v>TRA1.10</v>
          </cell>
          <cell r="AJ43" t="str">
            <v>TRA1.14</v>
          </cell>
        </row>
        <row r="44">
          <cell r="B44" t="str">
            <v>AML/Fraud</v>
          </cell>
          <cell r="AB44" t="str">
            <v>TRA1.11</v>
          </cell>
          <cell r="AJ44" t="str">
            <v>TRA1.15</v>
          </cell>
        </row>
        <row r="45">
          <cell r="B45" t="str">
            <v>Conduct</v>
          </cell>
          <cell r="AB45" t="str">
            <v>TRA1.12</v>
          </cell>
          <cell r="AJ45" t="str">
            <v>TRA1.17</v>
          </cell>
        </row>
        <row r="46">
          <cell r="B46" t="str">
            <v>Legal and Regulatory</v>
          </cell>
          <cell r="AB46" t="str">
            <v>TRA1.13</v>
          </cell>
          <cell r="AJ46" t="str">
            <v>TRA1.18</v>
          </cell>
        </row>
        <row r="47">
          <cell r="B47" t="str">
            <v>Privacy</v>
          </cell>
          <cell r="AB47" t="str">
            <v>TRA1.14</v>
          </cell>
          <cell r="AJ47" t="str">
            <v>TRA1.19</v>
          </cell>
        </row>
        <row r="48">
          <cell r="AB48" t="str">
            <v>TRA1.15</v>
          </cell>
          <cell r="AJ48" t="str">
            <v>TRA1.20</v>
          </cell>
        </row>
        <row r="49">
          <cell r="AB49" t="str">
            <v>TRA1.16</v>
          </cell>
          <cell r="AJ49" t="str">
            <v>TRA1.23</v>
          </cell>
        </row>
        <row r="50">
          <cell r="B50" t="str">
            <v>Technology Risk</v>
          </cell>
          <cell r="AB50" t="str">
            <v>TRA1.17</v>
          </cell>
          <cell r="AJ50" t="str">
            <v>TRA1.24</v>
          </cell>
        </row>
        <row r="51">
          <cell r="B51" t="str">
            <v>Talent Risk</v>
          </cell>
          <cell r="AB51" t="str">
            <v>TRA1.18</v>
          </cell>
          <cell r="AJ51" t="str">
            <v>TRA1.25</v>
          </cell>
        </row>
        <row r="52">
          <cell r="B52" t="str">
            <v>Strategic Risk</v>
          </cell>
          <cell r="AB52" t="str">
            <v>TRA1.19</v>
          </cell>
          <cell r="AJ52" t="str">
            <v>TRA1.27</v>
          </cell>
        </row>
        <row r="53">
          <cell r="B53" t="str">
            <v>Data Risk</v>
          </cell>
          <cell r="AB53" t="str">
            <v>TRA1.20</v>
          </cell>
          <cell r="AJ53" t="str">
            <v>TRA1.28</v>
          </cell>
        </row>
        <row r="54">
          <cell r="B54" t="str">
            <v>Third-Party Risk</v>
          </cell>
          <cell r="AB54" t="str">
            <v>TRA1.21</v>
          </cell>
          <cell r="AJ54" t="str">
            <v>TRA1.29</v>
          </cell>
        </row>
        <row r="55">
          <cell r="B55" t="str">
            <v>Security Risk</v>
          </cell>
          <cell r="AB55" t="str">
            <v>TRA1.22</v>
          </cell>
          <cell r="AJ55" t="str">
            <v>TRA1.30</v>
          </cell>
        </row>
        <row r="56">
          <cell r="AB56" t="str">
            <v>TRA1.23</v>
          </cell>
          <cell r="AJ56" t="str">
            <v>TRA1.32</v>
          </cell>
        </row>
        <row r="57">
          <cell r="AB57" t="str">
            <v>TRA1.24</v>
          </cell>
          <cell r="AJ57" t="str">
            <v>TRA1.33</v>
          </cell>
        </row>
        <row r="58">
          <cell r="AB58" t="str">
            <v>TRA1.25</v>
          </cell>
          <cell r="AJ58" t="str">
            <v>TRA1.34</v>
          </cell>
        </row>
        <row r="59">
          <cell r="AB59" t="str">
            <v>TRA1.26</v>
          </cell>
          <cell r="AJ59" t="str">
            <v>TRA1.36</v>
          </cell>
        </row>
        <row r="60">
          <cell r="AB60" t="str">
            <v>TRA1.27</v>
          </cell>
          <cell r="AJ60" t="str">
            <v>TRA1.37</v>
          </cell>
        </row>
        <row r="61">
          <cell r="AB61" t="str">
            <v>TRA1.28</v>
          </cell>
          <cell r="AJ61" t="str">
            <v>TRA1.38</v>
          </cell>
        </row>
        <row r="62">
          <cell r="AB62" t="str">
            <v>TRA1.29</v>
          </cell>
          <cell r="AJ62" t="str">
            <v>TRA1.39</v>
          </cell>
        </row>
        <row r="63">
          <cell r="AB63" t="str">
            <v>TRA1.30</v>
          </cell>
          <cell r="AJ63" t="str">
            <v>TRA1.40</v>
          </cell>
        </row>
        <row r="64">
          <cell r="AB64" t="str">
            <v>TRA1.31</v>
          </cell>
          <cell r="AJ64" t="str">
            <v>TRA1.42</v>
          </cell>
        </row>
        <row r="65">
          <cell r="AB65" t="str">
            <v>TRA1.32</v>
          </cell>
          <cell r="AJ65" t="str">
            <v>TRA1.43</v>
          </cell>
        </row>
        <row r="66">
          <cell r="AB66" t="str">
            <v>TRA1.33</v>
          </cell>
          <cell r="AJ66" t="str">
            <v>TRA1.44</v>
          </cell>
        </row>
        <row r="67">
          <cell r="AB67" t="str">
            <v>TRA1.34</v>
          </cell>
          <cell r="AJ67" t="str">
            <v>TRA1.45</v>
          </cell>
        </row>
        <row r="68">
          <cell r="AB68" t="str">
            <v>TRA1.35</v>
          </cell>
          <cell r="AJ68" t="str">
            <v>TRA1.47</v>
          </cell>
        </row>
        <row r="69">
          <cell r="AB69" t="str">
            <v>TRA1.36</v>
          </cell>
          <cell r="AJ69" t="str">
            <v>TRA1.48</v>
          </cell>
        </row>
        <row r="70">
          <cell r="AB70" t="str">
            <v>TRA1.37</v>
          </cell>
          <cell r="AJ70" t="str">
            <v>TRA1.49</v>
          </cell>
        </row>
        <row r="71">
          <cell r="AB71" t="str">
            <v>TRA1.38</v>
          </cell>
          <cell r="AJ71" t="str">
            <v>TRA1.50</v>
          </cell>
        </row>
        <row r="72">
          <cell r="AB72" t="str">
            <v>TRA1.39</v>
          </cell>
          <cell r="AJ72" t="str">
            <v>TRA1.51</v>
          </cell>
        </row>
        <row r="73">
          <cell r="AB73" t="str">
            <v>TRA1.40</v>
          </cell>
          <cell r="AJ73" t="str">
            <v>TRA1.52</v>
          </cell>
        </row>
        <row r="74">
          <cell r="AB74" t="str">
            <v>TRA1.41</v>
          </cell>
          <cell r="AJ74" t="str">
            <v>TRA1.53</v>
          </cell>
        </row>
        <row r="75">
          <cell r="AB75" t="str">
            <v>TRA1.42</v>
          </cell>
          <cell r="AJ75" t="str">
            <v>TRA1.54</v>
          </cell>
        </row>
        <row r="76">
          <cell r="AB76" t="str">
            <v>TRA1.43</v>
          </cell>
          <cell r="AJ76" t="str">
            <v>TRA1.55</v>
          </cell>
        </row>
        <row r="77">
          <cell r="AB77" t="str">
            <v>TRA1.44</v>
          </cell>
          <cell r="AJ77" t="str">
            <v>TRA1.57</v>
          </cell>
        </row>
        <row r="78">
          <cell r="AB78" t="str">
            <v>TRA1.45</v>
          </cell>
          <cell r="AJ78" t="str">
            <v>TRA1.58</v>
          </cell>
        </row>
        <row r="79">
          <cell r="AB79" t="str">
            <v>TRA1.46</v>
          </cell>
          <cell r="AJ79" t="str">
            <v>TRA1.59</v>
          </cell>
        </row>
        <row r="80">
          <cell r="AB80" t="str">
            <v>TRA1.47</v>
          </cell>
          <cell r="AJ80" t="str">
            <v>TRA1.60</v>
          </cell>
        </row>
        <row r="81">
          <cell r="AB81" t="str">
            <v>TRA1.48</v>
          </cell>
          <cell r="AJ81" t="str">
            <v>TRA1.61</v>
          </cell>
        </row>
        <row r="82">
          <cell r="AB82" t="str">
            <v>TRA1.49</v>
          </cell>
          <cell r="AJ82" t="str">
            <v>TRA1.62</v>
          </cell>
        </row>
        <row r="83">
          <cell r="AB83" t="str">
            <v>TRA1.50</v>
          </cell>
          <cell r="AJ83" t="str">
            <v>TRA1.63</v>
          </cell>
        </row>
        <row r="84">
          <cell r="AB84" t="str">
            <v>TRA1.51</v>
          </cell>
          <cell r="AJ84" t="str">
            <v>TRA1.64</v>
          </cell>
        </row>
        <row r="85">
          <cell r="AB85" t="str">
            <v>TRA1.52</v>
          </cell>
          <cell r="AJ85" t="str">
            <v>TRA1.65</v>
          </cell>
        </row>
        <row r="86">
          <cell r="AB86" t="str">
            <v>TRA1.53</v>
          </cell>
          <cell r="AJ86" t="str">
            <v>TRA1.66</v>
          </cell>
        </row>
        <row r="87">
          <cell r="AB87" t="str">
            <v>TRA1.54</v>
          </cell>
          <cell r="AJ87" t="str">
            <v>TRA1.67</v>
          </cell>
        </row>
        <row r="88">
          <cell r="AB88" t="str">
            <v>TRA1.55</v>
          </cell>
          <cell r="AJ88" t="str">
            <v>TRA1.68</v>
          </cell>
        </row>
        <row r="89">
          <cell r="AB89" t="str">
            <v>TRA1.56</v>
          </cell>
          <cell r="AJ89" t="str">
            <v>TRA1.69</v>
          </cell>
        </row>
        <row r="90">
          <cell r="AB90" t="str">
            <v>TRA1.57</v>
          </cell>
          <cell r="AJ90" t="str">
            <v>TRA1.70</v>
          </cell>
        </row>
        <row r="91">
          <cell r="AB91" t="str">
            <v>TRA1.58</v>
          </cell>
          <cell r="AJ91" t="str">
            <v>TRA1.71</v>
          </cell>
        </row>
        <row r="92">
          <cell r="AB92" t="str">
            <v>TRA1.59</v>
          </cell>
          <cell r="AJ92" t="str">
            <v>TRA1.72</v>
          </cell>
        </row>
        <row r="93">
          <cell r="AB93" t="str">
            <v>TRA1.60</v>
          </cell>
          <cell r="AJ93" t="str">
            <v>TRA1.73</v>
          </cell>
        </row>
        <row r="94">
          <cell r="AB94" t="str">
            <v>TRA1.61</v>
          </cell>
          <cell r="AJ94" t="str">
            <v>TRA1.74</v>
          </cell>
        </row>
        <row r="95">
          <cell r="AB95" t="str">
            <v>TRA1.62</v>
          </cell>
          <cell r="AJ95" t="str">
            <v>TRA1.75</v>
          </cell>
        </row>
        <row r="96">
          <cell r="AB96" t="str">
            <v>TRA1.63</v>
          </cell>
          <cell r="AJ96" t="str">
            <v>TRA1.77</v>
          </cell>
        </row>
        <row r="97">
          <cell r="AB97" t="str">
            <v>TRA1.64</v>
          </cell>
          <cell r="AJ97" t="str">
            <v>TRA1.78</v>
          </cell>
        </row>
        <row r="98">
          <cell r="AB98" t="str">
            <v>TRA1.65</v>
          </cell>
          <cell r="AJ98" t="str">
            <v>TRA1.79</v>
          </cell>
        </row>
        <row r="99">
          <cell r="AB99" t="str">
            <v>TRA1.66</v>
          </cell>
          <cell r="AJ99" t="str">
            <v>TRA1.80</v>
          </cell>
        </row>
        <row r="100">
          <cell r="AB100" t="str">
            <v>TRA1.67</v>
          </cell>
          <cell r="AJ100" t="str">
            <v>TRA1.81</v>
          </cell>
        </row>
        <row r="101">
          <cell r="AB101" t="str">
            <v>TRA1.68</v>
          </cell>
          <cell r="AJ101" t="str">
            <v>TRA1.82</v>
          </cell>
        </row>
        <row r="102">
          <cell r="AB102" t="str">
            <v>TRA1.69</v>
          </cell>
          <cell r="AJ102" t="str">
            <v/>
          </cell>
        </row>
        <row r="103">
          <cell r="AB103" t="str">
            <v>TRA1.70</v>
          </cell>
          <cell r="AJ103" t="str">
            <v/>
          </cell>
        </row>
        <row r="104">
          <cell r="AB104" t="str">
            <v>TRA1.71</v>
          </cell>
          <cell r="AJ104" t="str">
            <v/>
          </cell>
        </row>
        <row r="105">
          <cell r="AB105" t="str">
            <v>TRA1.72</v>
          </cell>
          <cell r="AJ105" t="str">
            <v/>
          </cell>
        </row>
        <row r="106">
          <cell r="AB106" t="str">
            <v>TRA1.73</v>
          </cell>
          <cell r="AJ106" t="str">
            <v/>
          </cell>
        </row>
        <row r="107">
          <cell r="AB107" t="str">
            <v>TRA1.74</v>
          </cell>
          <cell r="AJ107" t="str">
            <v/>
          </cell>
        </row>
        <row r="108">
          <cell r="AB108" t="str">
            <v>TRA1.75</v>
          </cell>
          <cell r="AJ108" t="str">
            <v/>
          </cell>
        </row>
        <row r="109">
          <cell r="AB109" t="str">
            <v>TRA1.76</v>
          </cell>
          <cell r="AJ109" t="str">
            <v/>
          </cell>
        </row>
        <row r="110">
          <cell r="AB110" t="str">
            <v>TRA1.77</v>
          </cell>
          <cell r="AJ110" t="str">
            <v/>
          </cell>
        </row>
        <row r="111">
          <cell r="AB111" t="str">
            <v>TRA1.78</v>
          </cell>
          <cell r="AJ111" t="str">
            <v/>
          </cell>
        </row>
        <row r="112">
          <cell r="AB112" t="str">
            <v>TRA1.79</v>
          </cell>
          <cell r="AJ112" t="str">
            <v/>
          </cell>
        </row>
        <row r="113">
          <cell r="AB113" t="str">
            <v>TRA1.80</v>
          </cell>
          <cell r="AJ113" t="str">
            <v/>
          </cell>
        </row>
        <row r="114">
          <cell r="AB114" t="str">
            <v>TRA1.81</v>
          </cell>
          <cell r="AJ114" t="str">
            <v/>
          </cell>
        </row>
        <row r="115">
          <cell r="AB115" t="str">
            <v>TRA1.82</v>
          </cell>
          <cell r="AJ115" t="str">
            <v/>
          </cell>
        </row>
        <row r="116">
          <cell r="AB116" t="str">
            <v/>
          </cell>
          <cell r="AJ116" t="str">
            <v/>
          </cell>
        </row>
        <row r="117">
          <cell r="AB117" t="str">
            <v/>
          </cell>
          <cell r="AJ117" t="str">
            <v/>
          </cell>
        </row>
        <row r="118">
          <cell r="AB118" t="str">
            <v/>
          </cell>
          <cell r="AJ118" t="str">
            <v/>
          </cell>
        </row>
        <row r="119">
          <cell r="AB119" t="str">
            <v/>
          </cell>
          <cell r="AJ119" t="str">
            <v/>
          </cell>
        </row>
        <row r="120">
          <cell r="AB120" t="str">
            <v/>
          </cell>
          <cell r="AJ120" t="str">
            <v/>
          </cell>
        </row>
        <row r="121">
          <cell r="AB121" t="str">
            <v/>
          </cell>
          <cell r="AJ121" t="str">
            <v/>
          </cell>
        </row>
        <row r="122">
          <cell r="AB122" t="str">
            <v/>
          </cell>
          <cell r="AJ122" t="str">
            <v/>
          </cell>
        </row>
        <row r="123">
          <cell r="AB123" t="str">
            <v/>
          </cell>
          <cell r="AJ123" t="str">
            <v/>
          </cell>
        </row>
        <row r="124">
          <cell r="AB124" t="str">
            <v/>
          </cell>
          <cell r="AJ124" t="str">
            <v/>
          </cell>
        </row>
        <row r="125">
          <cell r="AB125" t="str">
            <v/>
          </cell>
          <cell r="AJ125" t="str">
            <v/>
          </cell>
        </row>
        <row r="126">
          <cell r="AB126" t="str">
            <v/>
          </cell>
          <cell r="AJ126" t="str">
            <v/>
          </cell>
        </row>
        <row r="127">
          <cell r="AB127" t="str">
            <v/>
          </cell>
          <cell r="AJ127" t="str">
            <v/>
          </cell>
        </row>
        <row r="128">
          <cell r="AB128" t="str">
            <v/>
          </cell>
          <cell r="AJ128" t="str">
            <v/>
          </cell>
        </row>
        <row r="129">
          <cell r="AB129" t="str">
            <v/>
          </cell>
          <cell r="AJ129" t="str">
            <v/>
          </cell>
        </row>
        <row r="130">
          <cell r="AB130" t="str">
            <v/>
          </cell>
          <cell r="AJ130" t="str">
            <v/>
          </cell>
        </row>
        <row r="131">
          <cell r="AB131" t="str">
            <v/>
          </cell>
          <cell r="AJ131" t="str">
            <v/>
          </cell>
        </row>
        <row r="132">
          <cell r="AB132" t="str">
            <v/>
          </cell>
          <cell r="AJ132" t="str">
            <v/>
          </cell>
        </row>
        <row r="133">
          <cell r="AB133" t="str">
            <v/>
          </cell>
          <cell r="AJ133" t="str">
            <v/>
          </cell>
        </row>
        <row r="134">
          <cell r="AB134" t="str">
            <v/>
          </cell>
          <cell r="AJ134" t="str">
            <v/>
          </cell>
        </row>
        <row r="135">
          <cell r="AB135" t="str">
            <v/>
          </cell>
          <cell r="AJ135" t="str">
            <v/>
          </cell>
        </row>
        <row r="136">
          <cell r="AB136" t="str">
            <v/>
          </cell>
          <cell r="AJ136" t="str">
            <v/>
          </cell>
        </row>
        <row r="137">
          <cell r="AB137" t="str">
            <v/>
          </cell>
          <cell r="AJ137" t="str">
            <v/>
          </cell>
        </row>
        <row r="138">
          <cell r="AB138" t="str">
            <v/>
          </cell>
          <cell r="AJ138" t="str">
            <v/>
          </cell>
        </row>
        <row r="139">
          <cell r="AB139" t="str">
            <v/>
          </cell>
          <cell r="AJ139" t="str">
            <v/>
          </cell>
        </row>
        <row r="140">
          <cell r="AB140" t="str">
            <v/>
          </cell>
          <cell r="AJ140" t="str">
            <v/>
          </cell>
        </row>
        <row r="141">
          <cell r="AB141" t="str">
            <v/>
          </cell>
          <cell r="AJ141" t="str">
            <v/>
          </cell>
        </row>
        <row r="142">
          <cell r="AB142" t="str">
            <v/>
          </cell>
          <cell r="AJ142" t="str">
            <v/>
          </cell>
        </row>
        <row r="143">
          <cell r="AB143" t="str">
            <v/>
          </cell>
          <cell r="AJ143" t="str">
            <v/>
          </cell>
        </row>
        <row r="144">
          <cell r="AB144" t="str">
            <v/>
          </cell>
          <cell r="AJ144" t="str">
            <v/>
          </cell>
        </row>
        <row r="145">
          <cell r="AB145" t="str">
            <v/>
          </cell>
          <cell r="AJ145" t="str">
            <v/>
          </cell>
        </row>
        <row r="146">
          <cell r="AB146" t="str">
            <v/>
          </cell>
          <cell r="AJ146" t="str">
            <v/>
          </cell>
        </row>
        <row r="147">
          <cell r="AB147" t="str">
            <v/>
          </cell>
          <cell r="AJ147" t="str">
            <v/>
          </cell>
        </row>
        <row r="148">
          <cell r="AB148" t="str">
            <v/>
          </cell>
          <cell r="AJ148" t="str">
            <v/>
          </cell>
        </row>
        <row r="149">
          <cell r="AB149" t="str">
            <v/>
          </cell>
          <cell r="AJ149" t="str">
            <v/>
          </cell>
        </row>
        <row r="150">
          <cell r="AB150" t="str">
            <v/>
          </cell>
          <cell r="AJ150" t="str">
            <v/>
          </cell>
        </row>
        <row r="151">
          <cell r="AB151" t="str">
            <v/>
          </cell>
          <cell r="AJ151" t="str">
            <v/>
          </cell>
        </row>
        <row r="152">
          <cell r="AB152" t="str">
            <v/>
          </cell>
          <cell r="AJ152" t="str">
            <v/>
          </cell>
        </row>
        <row r="153">
          <cell r="AB153" t="str">
            <v/>
          </cell>
          <cell r="AJ153" t="str">
            <v/>
          </cell>
        </row>
        <row r="154">
          <cell r="AB154" t="str">
            <v/>
          </cell>
          <cell r="AJ154" t="str">
            <v/>
          </cell>
        </row>
        <row r="155">
          <cell r="AB155" t="str">
            <v/>
          </cell>
          <cell r="AJ155" t="str">
            <v/>
          </cell>
        </row>
        <row r="156">
          <cell r="AB156" t="str">
            <v/>
          </cell>
          <cell r="AJ156" t="str">
            <v/>
          </cell>
        </row>
        <row r="157">
          <cell r="AB157" t="str">
            <v/>
          </cell>
          <cell r="AJ157" t="str">
            <v/>
          </cell>
        </row>
        <row r="158">
          <cell r="AB158" t="str">
            <v/>
          </cell>
          <cell r="AJ158" t="str">
            <v/>
          </cell>
        </row>
        <row r="159">
          <cell r="AB159" t="str">
            <v/>
          </cell>
          <cell r="AJ159" t="str">
            <v/>
          </cell>
        </row>
        <row r="160">
          <cell r="AB160" t="str">
            <v/>
          </cell>
          <cell r="AJ160" t="str">
            <v/>
          </cell>
        </row>
        <row r="161">
          <cell r="AB161" t="str">
            <v/>
          </cell>
          <cell r="AJ161" t="str">
            <v/>
          </cell>
        </row>
        <row r="162">
          <cell r="AB162" t="str">
            <v/>
          </cell>
          <cell r="AJ162" t="str">
            <v/>
          </cell>
        </row>
        <row r="163">
          <cell r="AB163" t="str">
            <v/>
          </cell>
          <cell r="AJ163" t="str">
            <v/>
          </cell>
        </row>
        <row r="164">
          <cell r="AB164" t="str">
            <v/>
          </cell>
          <cell r="AJ164" t="str">
            <v/>
          </cell>
        </row>
        <row r="165">
          <cell r="AB165" t="str">
            <v/>
          </cell>
          <cell r="AJ165" t="str">
            <v/>
          </cell>
        </row>
        <row r="166">
          <cell r="AB166" t="str">
            <v/>
          </cell>
          <cell r="AJ166" t="str">
            <v/>
          </cell>
        </row>
        <row r="167">
          <cell r="AB167" t="str">
            <v/>
          </cell>
          <cell r="AJ167" t="str">
            <v/>
          </cell>
        </row>
        <row r="168">
          <cell r="AB168" t="str">
            <v/>
          </cell>
          <cell r="AJ168" t="str">
            <v/>
          </cell>
        </row>
        <row r="169">
          <cell r="AB169" t="str">
            <v/>
          </cell>
          <cell r="AJ169" t="str">
            <v/>
          </cell>
        </row>
        <row r="170">
          <cell r="AB170" t="str">
            <v/>
          </cell>
          <cell r="AJ170" t="str">
            <v/>
          </cell>
        </row>
        <row r="171">
          <cell r="AB171" t="str">
            <v/>
          </cell>
          <cell r="AJ171" t="str">
            <v/>
          </cell>
        </row>
        <row r="172">
          <cell r="AB172" t="str">
            <v/>
          </cell>
          <cell r="AJ172" t="str">
            <v/>
          </cell>
        </row>
        <row r="173">
          <cell r="AB173" t="str">
            <v/>
          </cell>
          <cell r="AJ173" t="str">
            <v/>
          </cell>
        </row>
        <row r="174">
          <cell r="AB174" t="str">
            <v/>
          </cell>
          <cell r="AJ174" t="str">
            <v/>
          </cell>
        </row>
        <row r="175">
          <cell r="AB175" t="str">
            <v/>
          </cell>
          <cell r="AJ175" t="str">
            <v/>
          </cell>
        </row>
        <row r="176">
          <cell r="AB176" t="str">
            <v/>
          </cell>
          <cell r="AJ176" t="str">
            <v/>
          </cell>
        </row>
        <row r="177">
          <cell r="AB177" t="str">
            <v/>
          </cell>
          <cell r="AJ177" t="str">
            <v/>
          </cell>
        </row>
        <row r="178">
          <cell r="AB178" t="str">
            <v/>
          </cell>
          <cell r="AJ178" t="str">
            <v/>
          </cell>
        </row>
        <row r="179">
          <cell r="AB179" t="str">
            <v/>
          </cell>
          <cell r="AJ179" t="str">
            <v/>
          </cell>
        </row>
        <row r="180">
          <cell r="AB180" t="str">
            <v/>
          </cell>
          <cell r="AJ180" t="str">
            <v/>
          </cell>
        </row>
        <row r="181">
          <cell r="AB181" t="str">
            <v/>
          </cell>
          <cell r="AJ181" t="str">
            <v/>
          </cell>
        </row>
        <row r="182">
          <cell r="AB182" t="str">
            <v/>
          </cell>
          <cell r="AJ182" t="str">
            <v/>
          </cell>
        </row>
        <row r="183">
          <cell r="AB183" t="str">
            <v/>
          </cell>
          <cell r="AJ183" t="str">
            <v/>
          </cell>
        </row>
        <row r="184">
          <cell r="AB184" t="str">
            <v/>
          </cell>
          <cell r="AJ184" t="str">
            <v/>
          </cell>
        </row>
        <row r="185">
          <cell r="AB185" t="str">
            <v/>
          </cell>
        </row>
        <row r="186">
          <cell r="AB186" t="str">
            <v/>
          </cell>
        </row>
        <row r="187">
          <cell r="AB187" t="str">
            <v/>
          </cell>
        </row>
        <row r="188">
          <cell r="AB188" t="str">
            <v/>
          </cell>
        </row>
        <row r="189">
          <cell r="AB189" t="str">
            <v/>
          </cell>
        </row>
        <row r="190">
          <cell r="AB190" t="str">
            <v/>
          </cell>
        </row>
        <row r="191">
          <cell r="AB191" t="str">
            <v/>
          </cell>
        </row>
        <row r="192">
          <cell r="AB192" t="str">
            <v/>
          </cell>
        </row>
        <row r="193">
          <cell r="AB193" t="str">
            <v/>
          </cell>
        </row>
        <row r="194">
          <cell r="AB194" t="str">
            <v/>
          </cell>
        </row>
        <row r="195">
          <cell r="AB195" t="str">
            <v/>
          </cell>
        </row>
        <row r="196">
          <cell r="AB196" t="str">
            <v/>
          </cell>
        </row>
        <row r="197">
          <cell r="AB197" t="str">
            <v/>
          </cell>
        </row>
        <row r="198">
          <cell r="AB198" t="str">
            <v/>
          </cell>
        </row>
        <row r="199">
          <cell r="AB199" t="str">
            <v/>
          </cell>
        </row>
        <row r="200">
          <cell r="AB200" t="str">
            <v/>
          </cell>
        </row>
        <row r="201">
          <cell r="AB201" t="str">
            <v/>
          </cell>
        </row>
        <row r="202">
          <cell r="AB202" t="str">
            <v/>
          </cell>
        </row>
        <row r="203">
          <cell r="AB203" t="str">
            <v/>
          </cell>
        </row>
        <row r="204">
          <cell r="AB204" t="str">
            <v/>
          </cell>
        </row>
        <row r="205">
          <cell r="AB205" t="str">
            <v/>
          </cell>
        </row>
        <row r="206">
          <cell r="AB206" t="str">
            <v/>
          </cell>
        </row>
        <row r="207">
          <cell r="AB207" t="str">
            <v/>
          </cell>
        </row>
        <row r="208">
          <cell r="AB208" t="str">
            <v/>
          </cell>
        </row>
        <row r="209">
          <cell r="AB209" t="str">
            <v/>
          </cell>
        </row>
        <row r="210">
          <cell r="AB210" t="str">
            <v/>
          </cell>
        </row>
        <row r="211">
          <cell r="AB211" t="str">
            <v/>
          </cell>
        </row>
        <row r="212">
          <cell r="AB212" t="str">
            <v/>
          </cell>
        </row>
        <row r="213">
          <cell r="AB213" t="str">
            <v/>
          </cell>
        </row>
        <row r="214">
          <cell r="AB214" t="str">
            <v/>
          </cell>
        </row>
        <row r="215">
          <cell r="AB215" t="str">
            <v/>
          </cell>
        </row>
        <row r="216">
          <cell r="AB216" t="str">
            <v/>
          </cell>
        </row>
        <row r="217">
          <cell r="AB217" t="str">
            <v/>
          </cell>
        </row>
        <row r="218">
          <cell r="AB218" t="str">
            <v/>
          </cell>
        </row>
        <row r="219">
          <cell r="AB219" t="str">
            <v/>
          </cell>
        </row>
        <row r="220">
          <cell r="AB220" t="str">
            <v/>
          </cell>
        </row>
        <row r="221">
          <cell r="AB221" t="str">
            <v/>
          </cell>
        </row>
        <row r="222">
          <cell r="AB222" t="str">
            <v/>
          </cell>
        </row>
        <row r="223">
          <cell r="AB223" t="str">
            <v/>
          </cell>
        </row>
        <row r="224">
          <cell r="AB224" t="str">
            <v/>
          </cell>
        </row>
        <row r="225">
          <cell r="AB225" t="str">
            <v/>
          </cell>
        </row>
        <row r="226">
          <cell r="AB226" t="str">
            <v/>
          </cell>
        </row>
        <row r="227">
          <cell r="AB227" t="str">
            <v/>
          </cell>
        </row>
        <row r="228">
          <cell r="AB228" t="str">
            <v/>
          </cell>
        </row>
        <row r="229">
          <cell r="AB229" t="str">
            <v/>
          </cell>
        </row>
        <row r="230">
          <cell r="AB230" t="str">
            <v/>
          </cell>
        </row>
        <row r="231">
          <cell r="AB231" t="str">
            <v/>
          </cell>
        </row>
        <row r="232">
          <cell r="AB232" t="str">
            <v/>
          </cell>
        </row>
        <row r="233">
          <cell r="AB233" t="str">
            <v/>
          </cell>
        </row>
        <row r="234">
          <cell r="AB234" t="str">
            <v/>
          </cell>
        </row>
        <row r="235">
          <cell r="AB235" t="str">
            <v/>
          </cell>
        </row>
        <row r="236">
          <cell r="AB236" t="str">
            <v/>
          </cell>
        </row>
        <row r="237">
          <cell r="AB237" t="str">
            <v/>
          </cell>
        </row>
        <row r="238">
          <cell r="AB238" t="str">
            <v/>
          </cell>
        </row>
        <row r="239">
          <cell r="AB239" t="str">
            <v/>
          </cell>
        </row>
        <row r="240">
          <cell r="AB240" t="str">
            <v/>
          </cell>
        </row>
        <row r="241">
          <cell r="AB241" t="str">
            <v/>
          </cell>
        </row>
        <row r="242">
          <cell r="AB242" t="str">
            <v/>
          </cell>
        </row>
        <row r="243">
          <cell r="AB243" t="str">
            <v/>
          </cell>
        </row>
        <row r="244">
          <cell r="AB244" t="str">
            <v/>
          </cell>
        </row>
        <row r="245">
          <cell r="AB245" t="str">
            <v/>
          </cell>
        </row>
        <row r="246">
          <cell r="AB246" t="str">
            <v/>
          </cell>
        </row>
        <row r="247">
          <cell r="AB247" t="str">
            <v/>
          </cell>
        </row>
        <row r="248">
          <cell r="AB248" t="str">
            <v/>
          </cell>
        </row>
        <row r="249">
          <cell r="AB249" t="str">
            <v/>
          </cell>
        </row>
        <row r="250">
          <cell r="AB250" t="str">
            <v/>
          </cell>
        </row>
        <row r="251">
          <cell r="AB251" t="str">
            <v/>
          </cell>
        </row>
        <row r="252">
          <cell r="AB252" t="str">
            <v/>
          </cell>
        </row>
        <row r="253">
          <cell r="AB253" t="str">
            <v/>
          </cell>
        </row>
        <row r="254">
          <cell r="AB254" t="str">
            <v/>
          </cell>
        </row>
        <row r="255">
          <cell r="AB255" t="str">
            <v/>
          </cell>
        </row>
        <row r="256">
          <cell r="AB256" t="str">
            <v/>
          </cell>
        </row>
        <row r="257">
          <cell r="AB257" t="str">
            <v/>
          </cell>
        </row>
        <row r="258">
          <cell r="AB258" t="str">
            <v/>
          </cell>
        </row>
        <row r="259">
          <cell r="AB259" t="str">
            <v/>
          </cell>
        </row>
        <row r="260">
          <cell r="AB260" t="str">
            <v/>
          </cell>
        </row>
        <row r="261">
          <cell r="AB261" t="str">
            <v/>
          </cell>
        </row>
        <row r="262">
          <cell r="AB262" t="str">
            <v/>
          </cell>
        </row>
        <row r="263">
          <cell r="AB263" t="str">
            <v/>
          </cell>
        </row>
        <row r="264">
          <cell r="AB264" t="str">
            <v/>
          </cell>
        </row>
        <row r="265">
          <cell r="AB265" t="str">
            <v/>
          </cell>
        </row>
        <row r="266">
          <cell r="AB266" t="str">
            <v/>
          </cell>
        </row>
        <row r="267">
          <cell r="AB267" t="str">
            <v/>
          </cell>
        </row>
        <row r="268">
          <cell r="AB268" t="str">
            <v/>
          </cell>
        </row>
        <row r="269">
          <cell r="AB269" t="str">
            <v/>
          </cell>
        </row>
        <row r="270">
          <cell r="AB270" t="str">
            <v/>
          </cell>
        </row>
        <row r="271">
          <cell r="AB271" t="str">
            <v/>
          </cell>
        </row>
        <row r="272">
          <cell r="AB272" t="str">
            <v/>
          </cell>
        </row>
        <row r="273">
          <cell r="AB273" t="str">
            <v/>
          </cell>
        </row>
        <row r="274">
          <cell r="AB274" t="str">
            <v/>
          </cell>
        </row>
        <row r="275">
          <cell r="AB275" t="str">
            <v/>
          </cell>
        </row>
        <row r="276">
          <cell r="AB276" t="str">
            <v/>
          </cell>
        </row>
        <row r="277">
          <cell r="AB277" t="str">
            <v/>
          </cell>
        </row>
        <row r="278">
          <cell r="AB278" t="str">
            <v/>
          </cell>
        </row>
        <row r="279">
          <cell r="AB279" t="str">
            <v/>
          </cell>
        </row>
        <row r="280">
          <cell r="AB280" t="str">
            <v/>
          </cell>
        </row>
        <row r="281">
          <cell r="AB281" t="str">
            <v/>
          </cell>
        </row>
        <row r="282">
          <cell r="AB282" t="str">
            <v/>
          </cell>
        </row>
        <row r="283">
          <cell r="AB283" t="str">
            <v/>
          </cell>
        </row>
        <row r="284">
          <cell r="AB284" t="str">
            <v/>
          </cell>
        </row>
        <row r="285">
          <cell r="AB285" t="str">
            <v/>
          </cell>
        </row>
        <row r="286">
          <cell r="AB286" t="str">
            <v/>
          </cell>
        </row>
        <row r="287">
          <cell r="AB287" t="str">
            <v/>
          </cell>
        </row>
        <row r="288">
          <cell r="AB288" t="str">
            <v/>
          </cell>
        </row>
        <row r="289">
          <cell r="AB289" t="str">
            <v/>
          </cell>
        </row>
        <row r="290">
          <cell r="AB290" t="str">
            <v/>
          </cell>
        </row>
        <row r="291">
          <cell r="AB291" t="str">
            <v/>
          </cell>
        </row>
        <row r="292">
          <cell r="AB292" t="str">
            <v/>
          </cell>
        </row>
        <row r="293">
          <cell r="AB293" t="str">
            <v/>
          </cell>
        </row>
        <row r="294">
          <cell r="AB294" t="str">
            <v/>
          </cell>
        </row>
        <row r="295">
          <cell r="AB295" t="str">
            <v/>
          </cell>
        </row>
        <row r="296">
          <cell r="AB296" t="str">
            <v/>
          </cell>
        </row>
        <row r="297">
          <cell r="AB297" t="str">
            <v/>
          </cell>
        </row>
        <row r="298">
          <cell r="AB298" t="str">
            <v/>
          </cell>
        </row>
        <row r="299">
          <cell r="AB299" t="str">
            <v/>
          </cell>
        </row>
        <row r="300">
          <cell r="AB300" t="str">
            <v/>
          </cell>
        </row>
        <row r="301">
          <cell r="AB301" t="str">
            <v/>
          </cell>
        </row>
        <row r="302">
          <cell r="AB302" t="str">
            <v/>
          </cell>
        </row>
        <row r="303">
          <cell r="AB303" t="str">
            <v/>
          </cell>
        </row>
        <row r="304">
          <cell r="AB304" t="str">
            <v/>
          </cell>
        </row>
        <row r="305">
          <cell r="AB305" t="str">
            <v/>
          </cell>
        </row>
        <row r="306">
          <cell r="AB306" t="str">
            <v/>
          </cell>
        </row>
        <row r="307">
          <cell r="AB307" t="str">
            <v/>
          </cell>
        </row>
        <row r="308">
          <cell r="AB308" t="str">
            <v/>
          </cell>
        </row>
        <row r="309">
          <cell r="AB309" t="str">
            <v/>
          </cell>
        </row>
        <row r="310">
          <cell r="AB310" t="str">
            <v/>
          </cell>
        </row>
        <row r="311">
          <cell r="AB311" t="str">
            <v/>
          </cell>
        </row>
        <row r="312">
          <cell r="AB312" t="str">
            <v/>
          </cell>
        </row>
        <row r="313">
          <cell r="AB313" t="str">
            <v/>
          </cell>
        </row>
        <row r="314">
          <cell r="AB314" t="str">
            <v/>
          </cell>
        </row>
        <row r="315">
          <cell r="AB315" t="str">
            <v/>
          </cell>
        </row>
        <row r="316">
          <cell r="AB316" t="str">
            <v/>
          </cell>
        </row>
        <row r="317">
          <cell r="AB317" t="str">
            <v/>
          </cell>
        </row>
        <row r="318">
          <cell r="AB318" t="str">
            <v/>
          </cell>
        </row>
        <row r="319">
          <cell r="AB319" t="str">
            <v/>
          </cell>
        </row>
        <row r="320">
          <cell r="AB320" t="str">
            <v/>
          </cell>
        </row>
        <row r="321">
          <cell r="AB321" t="str">
            <v/>
          </cell>
        </row>
        <row r="322">
          <cell r="AB322" t="str">
            <v/>
          </cell>
        </row>
        <row r="323">
          <cell r="AB323" t="str">
            <v/>
          </cell>
        </row>
        <row r="324">
          <cell r="AB324" t="str">
            <v/>
          </cell>
        </row>
        <row r="325">
          <cell r="AB325" t="str">
            <v/>
          </cell>
        </row>
        <row r="326">
          <cell r="AB326" t="str">
            <v/>
          </cell>
        </row>
        <row r="327">
          <cell r="AB327" t="str">
            <v/>
          </cell>
        </row>
        <row r="328">
          <cell r="AB328" t="str">
            <v/>
          </cell>
        </row>
        <row r="329">
          <cell r="AB329" t="str">
            <v/>
          </cell>
        </row>
        <row r="330">
          <cell r="AB330" t="str">
            <v/>
          </cell>
        </row>
        <row r="331">
          <cell r="AB331" t="str">
            <v/>
          </cell>
        </row>
        <row r="332">
          <cell r="AB332" t="str">
            <v/>
          </cell>
        </row>
        <row r="333">
          <cell r="AB333" t="str">
            <v/>
          </cell>
        </row>
        <row r="334">
          <cell r="AB334" t="str">
            <v/>
          </cell>
        </row>
        <row r="335">
          <cell r="AB335" t="str">
            <v/>
          </cell>
        </row>
        <row r="336">
          <cell r="AB336" t="str">
            <v/>
          </cell>
        </row>
        <row r="337">
          <cell r="AB337" t="str">
            <v/>
          </cell>
        </row>
        <row r="338">
          <cell r="AB338" t="str">
            <v/>
          </cell>
        </row>
        <row r="339">
          <cell r="AB339" t="str">
            <v/>
          </cell>
        </row>
        <row r="340">
          <cell r="AB340" t="str">
            <v/>
          </cell>
        </row>
        <row r="341">
          <cell r="AB341" t="str">
            <v/>
          </cell>
        </row>
        <row r="342">
          <cell r="AB342" t="str">
            <v/>
          </cell>
        </row>
        <row r="343">
          <cell r="AB343" t="str">
            <v/>
          </cell>
        </row>
        <row r="344">
          <cell r="AB344" t="str">
            <v/>
          </cell>
        </row>
        <row r="345">
          <cell r="AB345" t="str">
            <v/>
          </cell>
        </row>
        <row r="346">
          <cell r="AB346" t="str">
            <v/>
          </cell>
        </row>
        <row r="347">
          <cell r="AB347" t="str">
            <v/>
          </cell>
        </row>
        <row r="348">
          <cell r="AB348" t="str">
            <v/>
          </cell>
        </row>
        <row r="349">
          <cell r="AB349" t="str">
            <v/>
          </cell>
        </row>
        <row r="350">
          <cell r="AB350" t="str">
            <v/>
          </cell>
        </row>
        <row r="351">
          <cell r="AB351" t="str">
            <v/>
          </cell>
        </row>
        <row r="352">
          <cell r="AB352" t="str">
            <v/>
          </cell>
        </row>
        <row r="353">
          <cell r="AB353" t="str">
            <v/>
          </cell>
        </row>
        <row r="354">
          <cell r="AB354" t="str">
            <v/>
          </cell>
        </row>
        <row r="355">
          <cell r="AB355" t="str">
            <v/>
          </cell>
        </row>
        <row r="356">
          <cell r="AB356" t="str">
            <v/>
          </cell>
        </row>
        <row r="357">
          <cell r="AB357" t="str">
            <v/>
          </cell>
        </row>
        <row r="358">
          <cell r="AB358" t="str">
            <v/>
          </cell>
        </row>
        <row r="359">
          <cell r="AB359" t="str">
            <v/>
          </cell>
        </row>
        <row r="360">
          <cell r="AB360" t="str">
            <v/>
          </cell>
        </row>
        <row r="361">
          <cell r="AB361" t="str">
            <v/>
          </cell>
        </row>
        <row r="362">
          <cell r="AB362" t="str">
            <v/>
          </cell>
        </row>
        <row r="363">
          <cell r="AB363" t="str">
            <v/>
          </cell>
        </row>
        <row r="364">
          <cell r="AB364" t="str">
            <v/>
          </cell>
        </row>
        <row r="365">
          <cell r="AB365" t="str">
            <v/>
          </cell>
        </row>
        <row r="366">
          <cell r="AB366" t="str">
            <v/>
          </cell>
        </row>
        <row r="367">
          <cell r="AB367" t="str">
            <v/>
          </cell>
        </row>
        <row r="368">
          <cell r="AB368" t="str">
            <v/>
          </cell>
        </row>
        <row r="369">
          <cell r="AB369" t="str">
            <v/>
          </cell>
        </row>
        <row r="370">
          <cell r="AB370" t="str">
            <v/>
          </cell>
        </row>
        <row r="371">
          <cell r="AB371" t="str">
            <v/>
          </cell>
        </row>
        <row r="372">
          <cell r="AB372" t="str">
            <v/>
          </cell>
        </row>
        <row r="373">
          <cell r="AB373" t="str">
            <v/>
          </cell>
        </row>
        <row r="374">
          <cell r="AB374" t="str">
            <v/>
          </cell>
        </row>
        <row r="375">
          <cell r="AB375" t="str">
            <v/>
          </cell>
        </row>
        <row r="376">
          <cell r="AB376" t="str">
            <v/>
          </cell>
        </row>
        <row r="377">
          <cell r="AB377" t="str">
            <v/>
          </cell>
        </row>
        <row r="378">
          <cell r="AB378" t="str">
            <v/>
          </cell>
        </row>
        <row r="379">
          <cell r="AB379" t="str">
            <v/>
          </cell>
        </row>
        <row r="380">
          <cell r="AB380" t="str">
            <v/>
          </cell>
        </row>
        <row r="381">
          <cell r="AB381" t="str">
            <v/>
          </cell>
        </row>
        <row r="382">
          <cell r="AB382" t="str">
            <v/>
          </cell>
        </row>
        <row r="383">
          <cell r="AB383" t="str">
            <v/>
          </cell>
        </row>
        <row r="384">
          <cell r="AB384" t="str">
            <v/>
          </cell>
        </row>
        <row r="385">
          <cell r="AB385" t="str">
            <v/>
          </cell>
        </row>
        <row r="386">
          <cell r="AB386" t="str">
            <v/>
          </cell>
        </row>
        <row r="387">
          <cell r="AB387" t="str">
            <v/>
          </cell>
        </row>
        <row r="388">
          <cell r="AB388" t="str">
            <v/>
          </cell>
        </row>
        <row r="389">
          <cell r="AB389" t="str">
            <v/>
          </cell>
        </row>
        <row r="390">
          <cell r="AB390" t="str">
            <v/>
          </cell>
        </row>
        <row r="391">
          <cell r="AB391" t="str">
            <v/>
          </cell>
        </row>
        <row r="392">
          <cell r="AB392" t="str">
            <v/>
          </cell>
        </row>
        <row r="393">
          <cell r="AB393" t="str">
            <v/>
          </cell>
        </row>
        <row r="394">
          <cell r="AB394" t="str">
            <v/>
          </cell>
        </row>
        <row r="395">
          <cell r="AB395" t="str">
            <v/>
          </cell>
        </row>
        <row r="396">
          <cell r="AB396" t="str">
            <v/>
          </cell>
        </row>
        <row r="397">
          <cell r="AB397" t="str">
            <v/>
          </cell>
        </row>
        <row r="398">
          <cell r="AB398" t="str">
            <v/>
          </cell>
        </row>
        <row r="399">
          <cell r="AB399" t="str">
            <v/>
          </cell>
        </row>
        <row r="400">
          <cell r="AB400" t="str">
            <v/>
          </cell>
        </row>
        <row r="401">
          <cell r="AB401" t="str">
            <v/>
          </cell>
        </row>
        <row r="402">
          <cell r="AB402" t="str">
            <v/>
          </cell>
        </row>
        <row r="403">
          <cell r="AB403" t="str">
            <v/>
          </cell>
        </row>
        <row r="404">
          <cell r="AB404" t="str">
            <v/>
          </cell>
        </row>
        <row r="405">
          <cell r="AB405" t="str">
            <v/>
          </cell>
        </row>
        <row r="406">
          <cell r="AB406" t="str">
            <v/>
          </cell>
        </row>
        <row r="407">
          <cell r="AB407" t="str">
            <v/>
          </cell>
        </row>
        <row r="408">
          <cell r="AB408" t="str">
            <v/>
          </cell>
        </row>
        <row r="409">
          <cell r="AB409" t="str">
            <v/>
          </cell>
        </row>
        <row r="410">
          <cell r="AB410" t="str">
            <v/>
          </cell>
        </row>
        <row r="411">
          <cell r="AB411" t="str">
            <v/>
          </cell>
        </row>
        <row r="412">
          <cell r="AB412" t="str">
            <v/>
          </cell>
        </row>
        <row r="413">
          <cell r="AB413" t="str">
            <v/>
          </cell>
        </row>
        <row r="414">
          <cell r="AB414" t="str">
            <v/>
          </cell>
        </row>
        <row r="415">
          <cell r="AB415" t="str">
            <v/>
          </cell>
        </row>
        <row r="416">
          <cell r="AB416" t="str">
            <v/>
          </cell>
        </row>
        <row r="417">
          <cell r="AB417" t="str">
            <v/>
          </cell>
        </row>
        <row r="418">
          <cell r="AB418" t="str">
            <v/>
          </cell>
        </row>
        <row r="419">
          <cell r="AB419" t="str">
            <v/>
          </cell>
        </row>
        <row r="420">
          <cell r="AB420" t="str">
            <v/>
          </cell>
        </row>
        <row r="421">
          <cell r="AB421" t="str">
            <v/>
          </cell>
        </row>
        <row r="422">
          <cell r="AB422" t="str">
            <v/>
          </cell>
        </row>
        <row r="423">
          <cell r="AB423" t="str">
            <v/>
          </cell>
        </row>
        <row r="424">
          <cell r="AB424" t="str">
            <v/>
          </cell>
        </row>
        <row r="425">
          <cell r="AB425" t="str">
            <v/>
          </cell>
        </row>
        <row r="426">
          <cell r="AB426" t="str">
            <v/>
          </cell>
        </row>
        <row r="427">
          <cell r="AB427" t="str">
            <v/>
          </cell>
        </row>
        <row r="428">
          <cell r="AB428" t="str">
            <v/>
          </cell>
        </row>
        <row r="429">
          <cell r="AB429" t="str">
            <v/>
          </cell>
        </row>
        <row r="430">
          <cell r="AB430" t="str">
            <v/>
          </cell>
        </row>
        <row r="431">
          <cell r="AB431" t="str">
            <v/>
          </cell>
        </row>
        <row r="432">
          <cell r="AB432" t="str">
            <v/>
          </cell>
        </row>
        <row r="433">
          <cell r="AB433" t="str">
            <v/>
          </cell>
        </row>
        <row r="434">
          <cell r="AB434" t="str">
            <v/>
          </cell>
        </row>
        <row r="435">
          <cell r="AB435" t="str">
            <v/>
          </cell>
        </row>
        <row r="436">
          <cell r="AB436" t="str">
            <v/>
          </cell>
        </row>
        <row r="437">
          <cell r="AB437" t="str">
            <v/>
          </cell>
        </row>
        <row r="438">
          <cell r="AB438" t="str">
            <v/>
          </cell>
        </row>
        <row r="439">
          <cell r="AB439" t="str">
            <v/>
          </cell>
        </row>
        <row r="440">
          <cell r="AB440" t="str">
            <v/>
          </cell>
        </row>
        <row r="441">
          <cell r="AB441" t="str">
            <v/>
          </cell>
        </row>
        <row r="442">
          <cell r="AB442" t="str">
            <v/>
          </cell>
        </row>
        <row r="443">
          <cell r="AB443" t="str">
            <v/>
          </cell>
        </row>
        <row r="444">
          <cell r="AB444" t="str">
            <v/>
          </cell>
        </row>
        <row r="445">
          <cell r="AB445" t="str">
            <v/>
          </cell>
        </row>
        <row r="446">
          <cell r="AB446" t="str">
            <v/>
          </cell>
        </row>
        <row r="447">
          <cell r="AB447" t="str">
            <v/>
          </cell>
        </row>
        <row r="448">
          <cell r="AB448" t="str">
            <v/>
          </cell>
        </row>
        <row r="449">
          <cell r="AB449" t="str">
            <v/>
          </cell>
        </row>
        <row r="450">
          <cell r="AB450" t="str">
            <v/>
          </cell>
        </row>
        <row r="451">
          <cell r="AB451" t="str">
            <v/>
          </cell>
        </row>
        <row r="452">
          <cell r="AB452" t="str">
            <v/>
          </cell>
        </row>
        <row r="453">
          <cell r="AB453" t="str">
            <v/>
          </cell>
        </row>
        <row r="454">
          <cell r="AB454" t="str">
            <v/>
          </cell>
        </row>
        <row r="455">
          <cell r="AB455" t="str">
            <v/>
          </cell>
        </row>
        <row r="456">
          <cell r="AB456" t="str">
            <v/>
          </cell>
        </row>
        <row r="457">
          <cell r="AB457" t="str">
            <v/>
          </cell>
        </row>
        <row r="458">
          <cell r="AB458" t="str">
            <v/>
          </cell>
        </row>
        <row r="459">
          <cell r="AB459" t="str">
            <v/>
          </cell>
        </row>
        <row r="460">
          <cell r="AB460" t="str">
            <v/>
          </cell>
        </row>
        <row r="461">
          <cell r="AB461" t="str">
            <v/>
          </cell>
        </row>
        <row r="462">
          <cell r="AB462" t="str">
            <v/>
          </cell>
        </row>
        <row r="463">
          <cell r="AB463" t="str">
            <v/>
          </cell>
        </row>
        <row r="464">
          <cell r="AB464" t="str">
            <v/>
          </cell>
        </row>
        <row r="465">
          <cell r="AB465" t="str">
            <v/>
          </cell>
        </row>
        <row r="466">
          <cell r="AB466" t="str">
            <v/>
          </cell>
        </row>
        <row r="467">
          <cell r="AB467" t="str">
            <v/>
          </cell>
        </row>
        <row r="468">
          <cell r="AB468" t="str">
            <v/>
          </cell>
        </row>
        <row r="469">
          <cell r="AB469" t="str">
            <v/>
          </cell>
        </row>
        <row r="470">
          <cell r="AB470" t="str">
            <v/>
          </cell>
        </row>
        <row r="471">
          <cell r="AB471" t="str">
            <v/>
          </cell>
        </row>
        <row r="472">
          <cell r="AB472" t="str">
            <v/>
          </cell>
        </row>
        <row r="473">
          <cell r="AB473" t="str">
            <v/>
          </cell>
        </row>
        <row r="474">
          <cell r="AB474" t="str">
            <v/>
          </cell>
        </row>
        <row r="475">
          <cell r="AB475" t="str">
            <v/>
          </cell>
        </row>
        <row r="476">
          <cell r="AB476" t="str">
            <v/>
          </cell>
        </row>
        <row r="477">
          <cell r="AB477" t="str">
            <v/>
          </cell>
        </row>
        <row r="478">
          <cell r="AB478" t="str">
            <v/>
          </cell>
        </row>
        <row r="479">
          <cell r="AB479" t="str">
            <v/>
          </cell>
        </row>
        <row r="480">
          <cell r="AB480" t="str">
            <v/>
          </cell>
        </row>
        <row r="481">
          <cell r="AB481" t="str">
            <v/>
          </cell>
        </row>
        <row r="482">
          <cell r="AB482" t="str">
            <v/>
          </cell>
        </row>
        <row r="483">
          <cell r="AB483" t="str">
            <v/>
          </cell>
        </row>
        <row r="484">
          <cell r="AB484" t="str">
            <v/>
          </cell>
        </row>
        <row r="485">
          <cell r="AB485" t="str">
            <v/>
          </cell>
        </row>
        <row r="486">
          <cell r="AB486" t="str">
            <v/>
          </cell>
        </row>
        <row r="487">
          <cell r="AB487" t="str">
            <v/>
          </cell>
        </row>
        <row r="488">
          <cell r="AB488" t="str">
            <v/>
          </cell>
        </row>
        <row r="489">
          <cell r="AB489" t="str">
            <v/>
          </cell>
        </row>
        <row r="490">
          <cell r="AB490" t="str">
            <v/>
          </cell>
        </row>
        <row r="491">
          <cell r="AB491" t="str">
            <v/>
          </cell>
        </row>
        <row r="492">
          <cell r="AB492" t="str">
            <v/>
          </cell>
        </row>
        <row r="493">
          <cell r="AB493" t="str">
            <v/>
          </cell>
        </row>
        <row r="494">
          <cell r="AB494" t="str">
            <v/>
          </cell>
        </row>
        <row r="495">
          <cell r="AB495" t="str">
            <v/>
          </cell>
        </row>
        <row r="496">
          <cell r="AB496" t="str">
            <v/>
          </cell>
        </row>
        <row r="497">
          <cell r="AB497" t="str">
            <v/>
          </cell>
        </row>
        <row r="498">
          <cell r="AB498" t="str">
            <v/>
          </cell>
        </row>
        <row r="499">
          <cell r="AB499" t="str">
            <v/>
          </cell>
        </row>
        <row r="500">
          <cell r="AB500" t="str">
            <v/>
          </cell>
        </row>
        <row r="501">
          <cell r="AB501" t="str">
            <v/>
          </cell>
        </row>
        <row r="502">
          <cell r="AB502" t="str">
            <v/>
          </cell>
        </row>
        <row r="503">
          <cell r="AB503" t="str">
            <v/>
          </cell>
        </row>
        <row r="504">
          <cell r="AB504" t="str">
            <v/>
          </cell>
        </row>
        <row r="505">
          <cell r="AB505" t="str">
            <v/>
          </cell>
        </row>
        <row r="506">
          <cell r="AB506" t="str">
            <v/>
          </cell>
        </row>
        <row r="507">
          <cell r="AB507" t="str">
            <v/>
          </cell>
        </row>
        <row r="508">
          <cell r="AB508" t="str">
            <v/>
          </cell>
        </row>
        <row r="509">
          <cell r="AB509" t="str">
            <v/>
          </cell>
        </row>
        <row r="510">
          <cell r="AB510" t="str">
            <v/>
          </cell>
        </row>
        <row r="511">
          <cell r="AB511" t="str">
            <v/>
          </cell>
        </row>
        <row r="512">
          <cell r="AB512" t="str">
            <v/>
          </cell>
        </row>
        <row r="513">
          <cell r="AB513" t="str">
            <v/>
          </cell>
        </row>
        <row r="514">
          <cell r="AB514" t="str">
            <v/>
          </cell>
        </row>
        <row r="515">
          <cell r="AB515" t="str">
            <v/>
          </cell>
        </row>
        <row r="516">
          <cell r="AB516" t="str">
            <v/>
          </cell>
        </row>
        <row r="517">
          <cell r="AB517" t="str">
            <v/>
          </cell>
        </row>
        <row r="518">
          <cell r="AB518" t="str">
            <v/>
          </cell>
        </row>
        <row r="519">
          <cell r="AB519" t="str">
            <v/>
          </cell>
        </row>
        <row r="520">
          <cell r="AB520" t="str">
            <v/>
          </cell>
        </row>
        <row r="521">
          <cell r="AB521" t="str">
            <v/>
          </cell>
        </row>
        <row r="522">
          <cell r="AB522" t="str">
            <v/>
          </cell>
        </row>
        <row r="523">
          <cell r="AB523" t="str">
            <v/>
          </cell>
        </row>
        <row r="524">
          <cell r="AB524" t="str">
            <v/>
          </cell>
        </row>
        <row r="525">
          <cell r="AB525" t="str">
            <v/>
          </cell>
        </row>
        <row r="526">
          <cell r="AB526" t="str">
            <v/>
          </cell>
        </row>
        <row r="527">
          <cell r="AB527" t="str">
            <v/>
          </cell>
        </row>
        <row r="528">
          <cell r="AB528" t="str">
            <v/>
          </cell>
        </row>
        <row r="529">
          <cell r="AB529" t="str">
            <v/>
          </cell>
        </row>
        <row r="530">
          <cell r="AB530" t="str">
            <v/>
          </cell>
        </row>
        <row r="531">
          <cell r="AB531" t="str">
            <v/>
          </cell>
        </row>
        <row r="532">
          <cell r="AB532" t="str">
            <v/>
          </cell>
        </row>
        <row r="533">
          <cell r="AB533" t="str">
            <v/>
          </cell>
        </row>
        <row r="534">
          <cell r="AB534" t="str">
            <v/>
          </cell>
        </row>
        <row r="535">
          <cell r="AB535" t="str">
            <v/>
          </cell>
        </row>
        <row r="536">
          <cell r="AB536" t="str">
            <v/>
          </cell>
        </row>
        <row r="537">
          <cell r="AB537" t="str">
            <v/>
          </cell>
        </row>
        <row r="538">
          <cell r="AB538" t="str">
            <v/>
          </cell>
        </row>
        <row r="539">
          <cell r="AB539" t="str">
            <v/>
          </cell>
        </row>
        <row r="540">
          <cell r="AB540" t="str">
            <v/>
          </cell>
        </row>
        <row r="541">
          <cell r="AB541" t="str">
            <v/>
          </cell>
        </row>
        <row r="542">
          <cell r="AB542" t="str">
            <v/>
          </cell>
        </row>
        <row r="543">
          <cell r="AB543" t="str">
            <v/>
          </cell>
        </row>
        <row r="544">
          <cell r="AB544" t="str">
            <v/>
          </cell>
        </row>
        <row r="545">
          <cell r="AB545" t="str">
            <v/>
          </cell>
        </row>
        <row r="546">
          <cell r="AB546" t="str">
            <v/>
          </cell>
        </row>
        <row r="547">
          <cell r="AB547" t="str">
            <v/>
          </cell>
        </row>
        <row r="548">
          <cell r="AB548" t="str">
            <v/>
          </cell>
        </row>
        <row r="549">
          <cell r="AB549" t="str">
            <v/>
          </cell>
        </row>
        <row r="550">
          <cell r="AB550" t="str">
            <v/>
          </cell>
        </row>
        <row r="551">
          <cell r="AB551" t="str">
            <v/>
          </cell>
        </row>
        <row r="552">
          <cell r="AB552" t="str">
            <v/>
          </cell>
        </row>
        <row r="553">
          <cell r="AB553" t="str">
            <v/>
          </cell>
        </row>
        <row r="554">
          <cell r="AB554" t="str">
            <v/>
          </cell>
        </row>
        <row r="555">
          <cell r="AB555" t="str">
            <v/>
          </cell>
        </row>
        <row r="556">
          <cell r="AB556" t="str">
            <v/>
          </cell>
        </row>
        <row r="557">
          <cell r="AB557" t="str">
            <v/>
          </cell>
        </row>
        <row r="558">
          <cell r="AB558" t="str">
            <v/>
          </cell>
        </row>
        <row r="559">
          <cell r="AB559" t="str">
            <v/>
          </cell>
        </row>
        <row r="560">
          <cell r="AB560" t="str">
            <v/>
          </cell>
        </row>
        <row r="561">
          <cell r="AB561" t="str">
            <v/>
          </cell>
        </row>
        <row r="562">
          <cell r="AB562" t="str">
            <v/>
          </cell>
        </row>
        <row r="563">
          <cell r="AB563" t="str">
            <v/>
          </cell>
        </row>
        <row r="564">
          <cell r="AB564" t="str">
            <v/>
          </cell>
        </row>
        <row r="565">
          <cell r="AB565" t="str">
            <v/>
          </cell>
        </row>
        <row r="566">
          <cell r="AB566" t="str">
            <v/>
          </cell>
        </row>
        <row r="567">
          <cell r="AB567" t="str">
            <v/>
          </cell>
        </row>
        <row r="568">
          <cell r="AB568" t="str">
            <v/>
          </cell>
        </row>
        <row r="569">
          <cell r="AB569" t="str">
            <v/>
          </cell>
        </row>
        <row r="570">
          <cell r="AB570" t="str">
            <v/>
          </cell>
        </row>
        <row r="571">
          <cell r="AB571" t="str">
            <v/>
          </cell>
        </row>
        <row r="572">
          <cell r="AB572" t="str">
            <v/>
          </cell>
        </row>
        <row r="573">
          <cell r="AB573" t="str">
            <v/>
          </cell>
        </row>
        <row r="574">
          <cell r="AB574" t="str">
            <v/>
          </cell>
        </row>
        <row r="575">
          <cell r="AB575" t="str">
            <v/>
          </cell>
        </row>
        <row r="576">
          <cell r="AB576" t="str">
            <v/>
          </cell>
        </row>
        <row r="577">
          <cell r="AB577" t="str">
            <v/>
          </cell>
        </row>
        <row r="578">
          <cell r="AB578" t="str">
            <v/>
          </cell>
        </row>
        <row r="579">
          <cell r="AB579" t="str">
            <v/>
          </cell>
        </row>
        <row r="580">
          <cell r="AB580" t="str">
            <v/>
          </cell>
        </row>
        <row r="581">
          <cell r="AB581" t="str">
            <v/>
          </cell>
        </row>
        <row r="582">
          <cell r="AB582" t="str">
            <v/>
          </cell>
        </row>
        <row r="583">
          <cell r="AB583" t="str">
            <v/>
          </cell>
        </row>
        <row r="584">
          <cell r="AB584" t="str">
            <v/>
          </cell>
        </row>
        <row r="585">
          <cell r="AB585" t="str">
            <v/>
          </cell>
        </row>
        <row r="586">
          <cell r="AB586" t="str">
            <v/>
          </cell>
        </row>
        <row r="587">
          <cell r="AB587" t="str">
            <v/>
          </cell>
        </row>
        <row r="588">
          <cell r="AB588" t="str">
            <v/>
          </cell>
        </row>
        <row r="589">
          <cell r="AB589" t="str">
            <v/>
          </cell>
        </row>
        <row r="590">
          <cell r="AB590" t="str">
            <v/>
          </cell>
        </row>
        <row r="591">
          <cell r="AB591" t="str">
            <v/>
          </cell>
        </row>
        <row r="592">
          <cell r="AB592" t="str">
            <v/>
          </cell>
        </row>
        <row r="593">
          <cell r="AB593" t="str">
            <v/>
          </cell>
        </row>
        <row r="594">
          <cell r="AB594" t="str">
            <v/>
          </cell>
        </row>
        <row r="595">
          <cell r="AB595" t="str">
            <v/>
          </cell>
        </row>
        <row r="596">
          <cell r="AB596" t="str">
            <v/>
          </cell>
        </row>
        <row r="597">
          <cell r="AB597" t="str">
            <v/>
          </cell>
        </row>
        <row r="598">
          <cell r="AB598" t="str">
            <v/>
          </cell>
        </row>
        <row r="599">
          <cell r="AB599" t="str">
            <v/>
          </cell>
        </row>
        <row r="600">
          <cell r="AB600" t="str">
            <v/>
          </cell>
        </row>
        <row r="601">
          <cell r="AB601" t="str">
            <v/>
          </cell>
        </row>
        <row r="602">
          <cell r="AB602" t="str">
            <v/>
          </cell>
        </row>
        <row r="603">
          <cell r="AB603" t="str">
            <v/>
          </cell>
        </row>
        <row r="604">
          <cell r="AB604" t="str">
            <v/>
          </cell>
        </row>
        <row r="605">
          <cell r="AB605" t="str">
            <v/>
          </cell>
        </row>
        <row r="606">
          <cell r="AB606" t="str">
            <v/>
          </cell>
        </row>
        <row r="607">
          <cell r="AB607" t="str">
            <v/>
          </cell>
        </row>
        <row r="608">
          <cell r="AB608" t="str">
            <v/>
          </cell>
        </row>
        <row r="609">
          <cell r="AB609" t="str">
            <v/>
          </cell>
        </row>
        <row r="610">
          <cell r="AB610" t="str">
            <v/>
          </cell>
        </row>
        <row r="611">
          <cell r="AB611" t="str">
            <v/>
          </cell>
        </row>
        <row r="612">
          <cell r="AB612" t="str">
            <v/>
          </cell>
        </row>
        <row r="613">
          <cell r="AB613" t="str">
            <v/>
          </cell>
        </row>
        <row r="614">
          <cell r="AB614" t="str">
            <v/>
          </cell>
        </row>
        <row r="615">
          <cell r="AB615" t="str">
            <v/>
          </cell>
        </row>
        <row r="616">
          <cell r="AB616" t="str">
            <v/>
          </cell>
        </row>
        <row r="617">
          <cell r="AB617" t="str">
            <v/>
          </cell>
        </row>
        <row r="618">
          <cell r="AB618" t="str">
            <v/>
          </cell>
        </row>
        <row r="619">
          <cell r="AB619" t="str">
            <v/>
          </cell>
        </row>
        <row r="620">
          <cell r="AB620" t="str">
            <v/>
          </cell>
        </row>
        <row r="621">
          <cell r="AB621" t="str">
            <v/>
          </cell>
        </row>
        <row r="622">
          <cell r="AB622" t="str">
            <v/>
          </cell>
        </row>
        <row r="623">
          <cell r="AB623" t="str">
            <v/>
          </cell>
        </row>
        <row r="624">
          <cell r="AB624" t="str">
            <v/>
          </cell>
        </row>
        <row r="625">
          <cell r="AB625" t="str">
            <v/>
          </cell>
        </row>
        <row r="626">
          <cell r="AB626" t="str">
            <v/>
          </cell>
        </row>
        <row r="627">
          <cell r="AB627" t="str">
            <v/>
          </cell>
        </row>
        <row r="628">
          <cell r="AB628" t="str">
            <v/>
          </cell>
        </row>
        <row r="629">
          <cell r="AB629" t="str">
            <v/>
          </cell>
        </row>
        <row r="630">
          <cell r="AB630" t="str">
            <v/>
          </cell>
        </row>
        <row r="631">
          <cell r="AB631" t="str">
            <v/>
          </cell>
        </row>
        <row r="632">
          <cell r="AB632" t="str">
            <v/>
          </cell>
        </row>
        <row r="633">
          <cell r="AB633" t="str">
            <v/>
          </cell>
        </row>
        <row r="634">
          <cell r="AB634" t="str">
            <v/>
          </cell>
        </row>
        <row r="635">
          <cell r="AB635" t="str">
            <v/>
          </cell>
        </row>
        <row r="636">
          <cell r="AB636" t="str">
            <v/>
          </cell>
        </row>
        <row r="637">
          <cell r="AB637" t="str">
            <v/>
          </cell>
        </row>
        <row r="638">
          <cell r="AB638" t="str">
            <v/>
          </cell>
        </row>
        <row r="639">
          <cell r="AB639" t="str">
            <v/>
          </cell>
        </row>
        <row r="640">
          <cell r="AB640" t="str">
            <v/>
          </cell>
        </row>
        <row r="641">
          <cell r="AB641" t="str">
            <v/>
          </cell>
        </row>
        <row r="642">
          <cell r="AB642" t="str">
            <v/>
          </cell>
        </row>
        <row r="643">
          <cell r="AB643" t="str">
            <v/>
          </cell>
        </row>
        <row r="644">
          <cell r="AB644" t="str">
            <v/>
          </cell>
        </row>
        <row r="645">
          <cell r="AB645" t="str">
            <v/>
          </cell>
        </row>
        <row r="646">
          <cell r="AB646" t="str">
            <v/>
          </cell>
        </row>
        <row r="647">
          <cell r="AB647" t="str">
            <v/>
          </cell>
        </row>
        <row r="648">
          <cell r="AB648" t="str">
            <v/>
          </cell>
        </row>
        <row r="649">
          <cell r="AB649" t="str">
            <v/>
          </cell>
        </row>
        <row r="650">
          <cell r="AB650" t="str">
            <v/>
          </cell>
        </row>
        <row r="651">
          <cell r="AB651" t="str">
            <v/>
          </cell>
        </row>
        <row r="652">
          <cell r="AB652" t="str">
            <v/>
          </cell>
        </row>
        <row r="653">
          <cell r="AB653" t="str">
            <v/>
          </cell>
        </row>
        <row r="654">
          <cell r="AB654" t="str">
            <v/>
          </cell>
        </row>
        <row r="655">
          <cell r="AB655" t="str">
            <v/>
          </cell>
        </row>
        <row r="656">
          <cell r="AB656" t="str">
            <v/>
          </cell>
        </row>
        <row r="657">
          <cell r="AB657" t="str">
            <v/>
          </cell>
        </row>
        <row r="658">
          <cell r="AB658" t="str">
            <v/>
          </cell>
        </row>
        <row r="659">
          <cell r="AB659" t="str">
            <v/>
          </cell>
        </row>
        <row r="660">
          <cell r="AB660" t="str">
            <v/>
          </cell>
        </row>
        <row r="661">
          <cell r="AB661" t="str">
            <v/>
          </cell>
        </row>
        <row r="662">
          <cell r="AB662" t="str">
            <v/>
          </cell>
        </row>
        <row r="663">
          <cell r="AB663" t="str">
            <v/>
          </cell>
        </row>
        <row r="664">
          <cell r="AB664" t="str">
            <v/>
          </cell>
        </row>
        <row r="665">
          <cell r="AB665" t="str">
            <v/>
          </cell>
        </row>
        <row r="666">
          <cell r="AB666" t="str">
            <v/>
          </cell>
        </row>
        <row r="667">
          <cell r="AB667" t="str">
            <v/>
          </cell>
        </row>
        <row r="668">
          <cell r="AB668" t="str">
            <v/>
          </cell>
        </row>
        <row r="669">
          <cell r="AB669" t="str">
            <v/>
          </cell>
        </row>
        <row r="670">
          <cell r="AB670" t="str">
            <v/>
          </cell>
        </row>
        <row r="671">
          <cell r="AB671" t="str">
            <v/>
          </cell>
        </row>
        <row r="672">
          <cell r="AB672" t="str">
            <v/>
          </cell>
        </row>
        <row r="673">
          <cell r="AB673" t="str">
            <v/>
          </cell>
        </row>
        <row r="674">
          <cell r="AB674" t="str">
            <v/>
          </cell>
        </row>
        <row r="675">
          <cell r="AB675" t="str">
            <v/>
          </cell>
        </row>
        <row r="676">
          <cell r="AB676" t="str">
            <v/>
          </cell>
        </row>
        <row r="677">
          <cell r="AB677" t="str">
            <v/>
          </cell>
        </row>
        <row r="678">
          <cell r="AB678" t="str">
            <v/>
          </cell>
        </row>
        <row r="679">
          <cell r="AB679" t="str">
            <v/>
          </cell>
        </row>
        <row r="680">
          <cell r="AB680" t="str">
            <v/>
          </cell>
        </row>
        <row r="681">
          <cell r="AB681" t="str">
            <v/>
          </cell>
        </row>
        <row r="682">
          <cell r="AB682" t="str">
            <v/>
          </cell>
        </row>
        <row r="683">
          <cell r="AB683" t="str">
            <v/>
          </cell>
        </row>
        <row r="684">
          <cell r="AB684" t="str">
            <v/>
          </cell>
        </row>
        <row r="685">
          <cell r="AB685" t="str">
            <v/>
          </cell>
        </row>
        <row r="686">
          <cell r="AB686" t="str">
            <v/>
          </cell>
        </row>
        <row r="687">
          <cell r="AB687" t="str">
            <v/>
          </cell>
        </row>
        <row r="688">
          <cell r="AB688" t="str">
            <v/>
          </cell>
        </row>
        <row r="689">
          <cell r="AB689" t="str">
            <v/>
          </cell>
        </row>
        <row r="690">
          <cell r="AB690" t="str">
            <v/>
          </cell>
        </row>
        <row r="691">
          <cell r="AB691" t="str">
            <v/>
          </cell>
        </row>
        <row r="692">
          <cell r="AB692" t="str">
            <v/>
          </cell>
        </row>
        <row r="693">
          <cell r="AB693" t="str">
            <v/>
          </cell>
        </row>
        <row r="694">
          <cell r="AB694" t="str">
            <v/>
          </cell>
        </row>
        <row r="695">
          <cell r="AB695" t="str">
            <v/>
          </cell>
        </row>
        <row r="696">
          <cell r="AB696" t="str">
            <v/>
          </cell>
        </row>
        <row r="697">
          <cell r="AB697" t="str">
            <v/>
          </cell>
        </row>
        <row r="698">
          <cell r="AB698" t="str">
            <v/>
          </cell>
        </row>
        <row r="699">
          <cell r="AB699" t="str">
            <v/>
          </cell>
        </row>
        <row r="700">
          <cell r="AB700" t="str">
            <v/>
          </cell>
        </row>
        <row r="701">
          <cell r="AB701" t="str">
            <v/>
          </cell>
        </row>
        <row r="702">
          <cell r="AB702" t="str">
            <v/>
          </cell>
        </row>
        <row r="703">
          <cell r="AB703" t="str">
            <v/>
          </cell>
        </row>
        <row r="704">
          <cell r="AB704" t="str">
            <v/>
          </cell>
        </row>
        <row r="705">
          <cell r="AB705" t="str">
            <v/>
          </cell>
        </row>
        <row r="706">
          <cell r="AB706" t="str">
            <v/>
          </cell>
        </row>
        <row r="707">
          <cell r="AB707" t="str">
            <v/>
          </cell>
        </row>
        <row r="708">
          <cell r="AB708" t="str">
            <v/>
          </cell>
        </row>
        <row r="709">
          <cell r="AB709" t="str">
            <v/>
          </cell>
        </row>
        <row r="710">
          <cell r="AB710" t="str">
            <v/>
          </cell>
        </row>
        <row r="711">
          <cell r="AB711" t="str">
            <v/>
          </cell>
        </row>
        <row r="712">
          <cell r="AB712" t="str">
            <v/>
          </cell>
        </row>
        <row r="713">
          <cell r="AB713" t="str">
            <v/>
          </cell>
        </row>
        <row r="714">
          <cell r="AB714" t="str">
            <v/>
          </cell>
        </row>
        <row r="715">
          <cell r="AB715" t="str">
            <v/>
          </cell>
        </row>
        <row r="716">
          <cell r="AB716" t="str">
            <v/>
          </cell>
        </row>
        <row r="717">
          <cell r="AB717" t="str">
            <v/>
          </cell>
        </row>
        <row r="718">
          <cell r="AB718" t="str">
            <v/>
          </cell>
        </row>
        <row r="719">
          <cell r="AB719" t="str">
            <v/>
          </cell>
        </row>
        <row r="720">
          <cell r="AB720" t="str">
            <v/>
          </cell>
        </row>
        <row r="721">
          <cell r="AB721" t="str">
            <v/>
          </cell>
        </row>
        <row r="722">
          <cell r="AB722" t="str">
            <v/>
          </cell>
        </row>
        <row r="723">
          <cell r="AB723" t="str">
            <v/>
          </cell>
        </row>
        <row r="724">
          <cell r="AB724" t="str">
            <v/>
          </cell>
        </row>
        <row r="725">
          <cell r="AB725" t="str">
            <v/>
          </cell>
        </row>
        <row r="726">
          <cell r="AB726" t="str">
            <v/>
          </cell>
        </row>
        <row r="727">
          <cell r="AB727" t="str">
            <v/>
          </cell>
        </row>
        <row r="728">
          <cell r="AB728" t="str">
            <v/>
          </cell>
        </row>
        <row r="729">
          <cell r="AB729" t="str">
            <v/>
          </cell>
        </row>
        <row r="730">
          <cell r="AB730" t="str">
            <v/>
          </cell>
        </row>
        <row r="731">
          <cell r="AB731" t="str">
            <v/>
          </cell>
        </row>
        <row r="732">
          <cell r="AB732" t="str">
            <v/>
          </cell>
        </row>
      </sheetData>
      <sheetData sheetId="8"/>
      <sheetData sheetId="9"/>
      <sheetData sheetId="10"/>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C9C9A9-8CDD-4833-A2F1-D2C425825EC9}">
  <dimension ref="A1:AG160"/>
  <sheetViews>
    <sheetView tabSelected="1" workbookViewId="0">
      <selection sqref="A1:XFD1048576"/>
    </sheetView>
  </sheetViews>
  <sheetFormatPr defaultColWidth="9.140625" defaultRowHeight="12.75" outlineLevelRow="1" outlineLevelCol="1" x14ac:dyDescent="0.2"/>
  <cols>
    <col min="1" max="1" width="2.85546875" style="1" customWidth="1"/>
    <col min="2" max="2" width="13.85546875" style="8" customWidth="1"/>
    <col min="3" max="3" width="32.5703125" style="124" customWidth="1"/>
    <col min="4" max="7" width="32.5703125" style="125" customWidth="1"/>
    <col min="8" max="8" width="60.85546875" style="125" customWidth="1"/>
    <col min="9" max="9" width="60.85546875" style="124" customWidth="1"/>
    <col min="10" max="18" width="30.85546875" style="125" customWidth="1"/>
    <col min="19" max="19" width="30.85546875" style="126" customWidth="1"/>
    <col min="20" max="20" width="29.5703125" style="127" customWidth="1" outlineLevel="1"/>
    <col min="21" max="21" width="29.5703125" style="8" customWidth="1" outlineLevel="1"/>
    <col min="22" max="22" width="19" style="128" customWidth="1" outlineLevel="1"/>
    <col min="23" max="24" width="19" style="8" customWidth="1" outlineLevel="1"/>
    <col min="25" max="25" width="60.85546875" style="124" customWidth="1"/>
    <col min="26" max="27" width="30.85546875" style="125" customWidth="1"/>
    <col min="28" max="29" width="20.5703125" style="125" customWidth="1" outlineLevel="1"/>
    <col min="30" max="30" width="21.42578125" style="125" customWidth="1" outlineLevel="1"/>
    <col min="31" max="31" width="9.140625" style="4"/>
    <col min="32" max="32" width="9.140625" style="7"/>
    <col min="33" max="33" width="9.140625" style="10"/>
    <col min="34" max="16384" width="9.140625" style="4"/>
  </cols>
  <sheetData>
    <row r="1" spans="1:31" ht="13.5" thickBot="1" x14ac:dyDescent="0.25">
      <c r="B1" s="2"/>
      <c r="C1" s="3"/>
      <c r="D1" s="4"/>
      <c r="E1" s="4"/>
      <c r="F1" s="4"/>
      <c r="G1" s="4"/>
      <c r="H1" s="4"/>
      <c r="I1" s="5"/>
      <c r="J1" s="4"/>
      <c r="K1" s="4"/>
      <c r="L1" s="4"/>
      <c r="M1" s="4"/>
      <c r="N1" s="4"/>
      <c r="O1" s="4"/>
      <c r="P1" s="4"/>
      <c r="Q1" s="4"/>
      <c r="R1" s="4"/>
      <c r="S1" s="2"/>
      <c r="T1" s="6"/>
      <c r="U1" s="7"/>
      <c r="V1" s="8"/>
      <c r="W1" s="7"/>
      <c r="X1" s="7"/>
      <c r="Y1" s="9"/>
      <c r="Z1" s="4"/>
      <c r="AA1" s="4"/>
      <c r="AB1" s="4"/>
      <c r="AC1" s="4"/>
      <c r="AD1" s="4"/>
    </row>
    <row r="2" spans="1:31" s="18" customFormat="1" ht="33.75" customHeight="1" thickBot="1" x14ac:dyDescent="0.25">
      <c r="A2" s="11"/>
      <c r="B2" s="12" t="s">
        <v>0</v>
      </c>
      <c r="C2" s="13"/>
      <c r="D2" s="13"/>
      <c r="E2" s="13"/>
      <c r="F2" s="13"/>
      <c r="G2" s="14"/>
      <c r="H2" s="15"/>
      <c r="I2" s="15"/>
      <c r="J2" s="15"/>
      <c r="K2" s="15"/>
      <c r="L2" s="15"/>
      <c r="M2" s="15"/>
      <c r="N2" s="15"/>
      <c r="O2" s="15"/>
      <c r="P2" s="15"/>
      <c r="Q2" s="15"/>
      <c r="R2" s="15"/>
      <c r="S2" s="15"/>
      <c r="T2" s="16"/>
      <c r="U2" s="16"/>
      <c r="V2" s="16"/>
      <c r="W2" s="16"/>
      <c r="X2" s="16"/>
      <c r="Y2" s="17"/>
      <c r="Z2" s="15"/>
      <c r="AA2" s="15"/>
      <c r="AB2" s="16"/>
      <c r="AC2" s="16"/>
      <c r="AD2" s="16"/>
    </row>
    <row r="3" spans="1:31" s="19" customFormat="1" ht="134.1" customHeight="1" outlineLevel="1" x14ac:dyDescent="0.25">
      <c r="B3" s="20" t="s">
        <v>1</v>
      </c>
      <c r="C3" s="20"/>
      <c r="D3" s="20"/>
      <c r="E3" s="20"/>
      <c r="F3" s="20"/>
      <c r="G3" s="20"/>
      <c r="H3" s="21"/>
      <c r="I3" s="22"/>
      <c r="J3" s="23"/>
      <c r="K3" s="23"/>
      <c r="L3" s="23"/>
      <c r="M3" s="23"/>
      <c r="N3" s="23"/>
      <c r="O3" s="23"/>
      <c r="P3" s="23"/>
      <c r="Q3" s="23"/>
      <c r="R3" s="23"/>
      <c r="S3" s="23"/>
      <c r="V3" s="24"/>
    </row>
    <row r="4" spans="1:31" s="19" customFormat="1" ht="15" customHeight="1" outlineLevel="1" thickBot="1" x14ac:dyDescent="0.3">
      <c r="A4"/>
      <c r="B4"/>
      <c r="C4"/>
      <c r="D4"/>
      <c r="E4"/>
      <c r="F4"/>
      <c r="G4"/>
      <c r="H4"/>
      <c r="I4" s="25"/>
      <c r="J4" s="23"/>
      <c r="K4" s="23"/>
      <c r="L4" s="23"/>
      <c r="M4" s="23"/>
      <c r="N4" s="23"/>
      <c r="O4" s="23"/>
      <c r="P4" s="23"/>
      <c r="Q4" s="23"/>
      <c r="R4" s="23"/>
      <c r="S4" s="23"/>
      <c r="V4" s="24"/>
    </row>
    <row r="5" spans="1:31" s="19" customFormat="1" ht="51.75" customHeight="1" outlineLevel="1" x14ac:dyDescent="0.25">
      <c r="A5"/>
      <c r="B5" s="26" t="s">
        <v>2</v>
      </c>
      <c r="C5" s="27"/>
      <c r="D5" s="28" t="s">
        <v>3</v>
      </c>
      <c r="E5"/>
      <c r="F5"/>
      <c r="G5"/>
      <c r="H5"/>
      <c r="I5" s="25"/>
      <c r="J5" s="23"/>
      <c r="K5" s="23"/>
      <c r="L5" s="23"/>
      <c r="M5" s="23"/>
      <c r="N5" s="23"/>
      <c r="O5" s="23"/>
      <c r="P5" s="23"/>
      <c r="Q5" s="23"/>
      <c r="R5" s="23"/>
      <c r="S5" s="23"/>
      <c r="V5" s="24"/>
    </row>
    <row r="6" spans="1:31" s="19" customFormat="1" ht="15" customHeight="1" thickBot="1" x14ac:dyDescent="0.3">
      <c r="B6" s="29"/>
      <c r="C6" s="29"/>
      <c r="D6" s="29"/>
      <c r="E6" s="29"/>
      <c r="F6" s="29"/>
      <c r="G6" s="29"/>
      <c r="H6" s="29"/>
      <c r="I6" s="30"/>
      <c r="J6" s="31"/>
      <c r="K6" s="31"/>
      <c r="L6" s="31"/>
      <c r="M6" s="31"/>
      <c r="N6" s="31"/>
      <c r="O6" s="31"/>
      <c r="P6" s="31"/>
      <c r="Q6" s="31"/>
      <c r="R6" s="31"/>
      <c r="S6" s="31"/>
      <c r="V6" s="24"/>
      <c r="Y6" s="32"/>
    </row>
    <row r="7" spans="1:31" s="38" customFormat="1" ht="30" customHeight="1" thickBot="1" x14ac:dyDescent="0.3">
      <c r="A7"/>
      <c r="B7" s="33" t="s">
        <v>4</v>
      </c>
      <c r="C7" s="34" t="s">
        <v>5</v>
      </c>
      <c r="D7" s="35"/>
      <c r="E7" s="35"/>
      <c r="F7" s="35"/>
      <c r="G7" s="35"/>
      <c r="H7" s="36"/>
      <c r="I7" s="34" t="s">
        <v>6</v>
      </c>
      <c r="J7" s="35"/>
      <c r="K7" s="35"/>
      <c r="L7" s="35"/>
      <c r="M7" s="35"/>
      <c r="N7" s="35"/>
      <c r="O7" s="35"/>
      <c r="P7" s="35"/>
      <c r="Q7" s="35"/>
      <c r="R7" s="35"/>
      <c r="S7" s="36"/>
      <c r="T7" s="34" t="s">
        <v>7</v>
      </c>
      <c r="U7" s="35"/>
      <c r="V7" s="35"/>
      <c r="W7" s="35"/>
      <c r="X7" s="36"/>
      <c r="Y7" s="37" t="s">
        <v>8</v>
      </c>
      <c r="Z7" s="35"/>
      <c r="AA7" s="36"/>
      <c r="AB7" s="34" t="s">
        <v>9</v>
      </c>
      <c r="AC7" s="35"/>
      <c r="AD7" s="36"/>
    </row>
    <row r="8" spans="1:31" ht="15.6" customHeight="1" x14ac:dyDescent="0.2">
      <c r="B8" s="39" t="s">
        <v>10</v>
      </c>
      <c r="C8" s="40" t="s">
        <v>11</v>
      </c>
      <c r="D8" s="41" t="s">
        <v>12</v>
      </c>
      <c r="E8" s="41" t="s">
        <v>13</v>
      </c>
      <c r="F8" s="41" t="s">
        <v>14</v>
      </c>
      <c r="G8" s="41" t="s">
        <v>15</v>
      </c>
      <c r="H8" s="42" t="s">
        <v>16</v>
      </c>
      <c r="I8" s="39" t="s">
        <v>17</v>
      </c>
      <c r="J8" s="43" t="s">
        <v>18</v>
      </c>
      <c r="K8" s="44"/>
      <c r="L8" s="45"/>
      <c r="M8" s="43" t="s">
        <v>19</v>
      </c>
      <c r="N8" s="44"/>
      <c r="O8" s="45"/>
      <c r="P8" s="46" t="s">
        <v>20</v>
      </c>
      <c r="Q8" s="46" t="s">
        <v>21</v>
      </c>
      <c r="R8" s="41" t="s">
        <v>22</v>
      </c>
      <c r="S8" s="42" t="s">
        <v>23</v>
      </c>
      <c r="T8" s="47" t="s">
        <v>24</v>
      </c>
      <c r="U8" s="48" t="s">
        <v>25</v>
      </c>
      <c r="V8" s="48" t="s">
        <v>26</v>
      </c>
      <c r="W8" s="48" t="s">
        <v>27</v>
      </c>
      <c r="X8" s="49" t="s">
        <v>28</v>
      </c>
      <c r="Y8" s="50" t="s">
        <v>29</v>
      </c>
      <c r="Z8" s="41" t="s">
        <v>30</v>
      </c>
      <c r="AA8" s="42" t="s">
        <v>28</v>
      </c>
      <c r="AB8" s="51" t="s">
        <v>31</v>
      </c>
      <c r="AC8" s="52" t="s">
        <v>32</v>
      </c>
      <c r="AD8" s="53" t="s">
        <v>33</v>
      </c>
      <c r="AE8" s="54"/>
    </row>
    <row r="9" spans="1:31" s="7" customFormat="1" ht="60" customHeight="1" thickBot="1" x14ac:dyDescent="0.25">
      <c r="A9" s="55"/>
      <c r="B9" s="56"/>
      <c r="C9" s="57"/>
      <c r="D9" s="58"/>
      <c r="E9" s="58"/>
      <c r="F9" s="58"/>
      <c r="G9" s="58"/>
      <c r="H9" s="59"/>
      <c r="I9" s="56"/>
      <c r="J9" s="60" t="s">
        <v>34</v>
      </c>
      <c r="K9" s="60" t="s">
        <v>35</v>
      </c>
      <c r="L9" s="61" t="s">
        <v>36</v>
      </c>
      <c r="M9" s="62" t="s">
        <v>37</v>
      </c>
      <c r="N9" s="63" t="s">
        <v>38</v>
      </c>
      <c r="O9" s="62" t="s">
        <v>39</v>
      </c>
      <c r="P9" s="64"/>
      <c r="Q9" s="64"/>
      <c r="R9" s="58"/>
      <c r="S9" s="59"/>
      <c r="T9" s="65"/>
      <c r="U9" s="66"/>
      <c r="V9" s="66"/>
      <c r="W9" s="66"/>
      <c r="X9" s="67"/>
      <c r="Y9" s="68"/>
      <c r="Z9" s="58"/>
      <c r="AA9" s="59"/>
      <c r="AB9" s="69"/>
      <c r="AC9" s="70"/>
      <c r="AD9" s="71"/>
      <c r="AE9" s="72"/>
    </row>
    <row r="10" spans="1:31" ht="300" customHeight="1" x14ac:dyDescent="0.2">
      <c r="A10" s="4"/>
      <c r="B10" s="73"/>
      <c r="C10" s="74" t="str">
        <f>IF('[1]Lists and Calcs (Hidden)'!AJ34="","",
                    IF(INDEX('[1]5. Assess Risks'!$B$6:$B$704,MATCH('[1]Lists and Calcs (Hidden)'!AJ34,'[1]Lists and Calcs (Hidden)'!$AB$34:$AB$732,0))="","",
                                    INDEX('[1]5. Assess Risks'!$B$6:$B$704,MATCH('[1]Lists and Calcs (Hidden)'!AJ34,'[1]Lists and Calcs (Hidden)'!$AB$34:$AB$732,0))
))</f>
        <v>TRA1.3 - ERP System - Attackers use obfuscation techniques to hide malicious software on an end-user device. They could employ fileless malware that resides only in memory, avoiding traditional file-based detection methods. The attacker might also leverage PowerShell scripts, which can execute malicious activities without writing to disk, or use rootkits to manipulate OS processes and hide the presence of malware. Finally, they can tamper with security features to disable antivirus programs directly or via registry modifications and ensure their activities remain undetected.</v>
      </c>
      <c r="D10" s="75">
        <f>IF(C10="", "", '[1]2. Prepare'!$E$6)</f>
        <v>45033</v>
      </c>
      <c r="E10" s="76"/>
      <c r="F10" s="76" t="s">
        <v>40</v>
      </c>
      <c r="G10" s="76" t="s">
        <v>41</v>
      </c>
      <c r="H10" s="76" t="s">
        <v>42</v>
      </c>
      <c r="I10" s="74" t="str">
        <f>IF('[1]Lists and Calcs (Hidden)'!AJ34="","",
                    IF(INDEX('[1]5. Assess Risks'!$D$6:$D$704,MATCH('[1]Lists and Calcs (Hidden)'!AJ34,'[1]Lists and Calcs (Hidden)'!$AB$34:$AB$732,0))="","",
                                    INDEX('[1]5. Assess Risks'!$D$6:$D$704,MATCH('[1]Lists and Calcs (Hidden)'!AJ34,'[1]Lists and Calcs (Hidden)'!$AB$34:$AB$732,0))
))</f>
        <v>WAF, Email Filtering, Vulnerability Management Program, Application Safelisting, Security Awareness Training Program, Phishing Simulations, Firewall, Endpoint Detection and Response, Intrusion Detection and Protection, Data Loss Prevention.</v>
      </c>
      <c r="J10" s="76"/>
      <c r="K10" s="76"/>
      <c r="L10" s="76"/>
      <c r="M10" s="76"/>
      <c r="N10" s="76"/>
      <c r="O10" s="76"/>
      <c r="P10" s="77" t="str">
        <f>IF('[1]Lists and Calcs (Hidden)'!AJ34="","",
                    IF(INDEX('[1]5. Assess Risks'!$G$6:$G$704,MATCH('[1]Lists and Calcs (Hidden)'!AJ34,'[1]Lists and Calcs (Hidden)'!$AB$34:$AB$732,0))="","",
                                    INDEX('[1]5. Assess Risks'!$G$6:$G$704,MATCH('[1]Lists and Calcs (Hidden)'!AJ34,'[1]Lists and Calcs (Hidden)'!$AB$34:$AB$732,0))
))</f>
        <v>Possible</v>
      </c>
      <c r="Q10" s="77" t="str">
        <f>IF('[1]Lists and Calcs (Hidden)'!AJ34="","",
                    IF(INDEX('[1]5. Assess Risks'!$H$6:$H$704,MATCH('[1]Lists and Calcs (Hidden)'!AJ34,'[1]Lists and Calcs (Hidden)'!$AB$34:$AB$732,0))="","",
                                    INDEX('[1]5. Assess Risks'!$H$6:$H$704,MATCH('[1]Lists and Calcs (Hidden)'!AJ34,'[1]Lists and Calcs (Hidden)'!$AB$34:$AB$732,0))
))</f>
        <v>Moderate</v>
      </c>
      <c r="R10" s="78" t="str">
        <f>IFERROR(IF('[1]2. Prepare'!$O$50="Quantitative",INDEX('[1]Lists and Calcs (Hidden)'!$M$12:$Q$16,MATCH('[1]6. Risk Register Integration'!P10,'[1]Lists and Calcs (Hidden)'!$K$12:$K$16,0),MATCH('[1]6. Risk Register Integration'!Q10,'[1]Lists and Calcs (Hidden)'!$M$10:$Q$10,0)),INDEX('[1]Lists and Calcs (Hidden)'!$Z$12:$AD$16,MATCH('[1]6. Risk Register Integration'!P10,'[1]Lists and Calcs (Hidden)'!$X$12:$X$16,0),MATCH('[1]6. Risk Register Integration'!Q10,'[1]Lists and Calcs (Hidden)'!$Z$10:$AD$10,0))),"")</f>
        <v>Medium</v>
      </c>
      <c r="S10" s="79" t="str">
        <f>IF('[1]Lists and Calcs (Hidden)'!AJ34="","",
                    IF(INDEX('[1]5. Assess Risks'!$J$6:$J$704,MATCH('[1]Lists and Calcs (Hidden)'!AJ34,'[1]Lists and Calcs (Hidden)'!$AB$34:$AB$732,0))="","",
                                    INDEX('[1]5. Assess Risks'!$J$6:$J$704,MATCH('[1]Lists and Calcs (Hidden)'!AJ34,'[1]Lists and Calcs (Hidden)'!$AB$34:$AB$732,0))
))</f>
        <v>No New Actions Needed</v>
      </c>
      <c r="T10" s="80"/>
      <c r="U10" s="81"/>
      <c r="V10" s="82"/>
      <c r="W10" s="81"/>
      <c r="X10" s="81"/>
      <c r="Y10" s="74" t="str">
        <f>IF('[1]Lists and Calcs (Hidden)'!AJ34="","",
                    IF(INDEX('[1]5. Assess Risks'!$L$6:$L$704,MATCH('[1]Lists and Calcs (Hidden)'!AJ34,'[1]Lists and Calcs (Hidden)'!$AB$34:$AB$732,0))="","",
                                    INDEX('[1]5. Assess Risks'!$L$6:$L$704,MATCH('[1]Lists and Calcs (Hidden)'!AJ34,'[1]Lists and Calcs (Hidden)'!$AB$34:$AB$732,0))
))</f>
        <v>Source of residual risks: Zero-days, social engineering, EDR bypasses, living off the land, and skilled attackers.</v>
      </c>
      <c r="Z10" s="83"/>
      <c r="AA10" s="84"/>
      <c r="AB10" s="85" t="s">
        <v>43</v>
      </c>
      <c r="AC10" s="86" t="s">
        <v>44</v>
      </c>
      <c r="AD10" s="87" t="str">
        <f>IFERROR(IF('[1]2. Prepare'!$O$50="Quantitative",INDEX('[1]Lists and Calcs (Hidden)'!$M$12:$Q$16,MATCH('[1]6. Risk Register Integration'!AB10,'[1]Lists and Calcs (Hidden)'!$K$12:$K$16,0),MATCH('[1]6. Risk Register Integration'!AC10,'[1]Lists and Calcs (Hidden)'!$M$10:$Q$10,0)),INDEX('[1]Lists and Calcs (Hidden)'!$Z$12:$AD$16,MATCH('[1]6. Risk Register Integration'!AB10,'[1]Lists and Calcs (Hidden)'!$X$12:$X$16,0),MATCH('[1]6. Risk Register Integration'!AC10,'[1]Lists and Calcs (Hidden)'!$Z$10:$AD$10,0))),"")</f>
        <v>Very Low</v>
      </c>
      <c r="AE10" s="54"/>
    </row>
    <row r="11" spans="1:31" ht="330" customHeight="1" x14ac:dyDescent="0.2">
      <c r="B11" s="88"/>
      <c r="C11" s="89" t="str">
        <f>IF('[1]Lists and Calcs (Hidden)'!AJ35="","",
                    IF(INDEX('[1]5. Assess Risks'!$B$6:$B$704,MATCH('[1]Lists and Calcs (Hidden)'!AJ35,'[1]Lists and Calcs (Hidden)'!$AB$34:$AB$732,0))="","",
                                    INDEX('[1]5. Assess Risks'!$B$6:$B$704,MATCH('[1]Lists and Calcs (Hidden)'!AJ35,'[1]Lists and Calcs (Hidden)'!$AB$34:$AB$732,0))
))</f>
        <v>TRA1.4 - ERP System - A malicious phishing email is sent to a user on the device. The email appears to be from a legitimate source and tricks the user into clicking a malicious link. The link downloads malware that steals the user's login credentials stored on the device (e.g. browser-saved passwords, local password managers). The attacker can then use these stolen credentials to access other resources on the network or impersonate the user.</v>
      </c>
      <c r="D11" s="90">
        <f>IF(C11="", "", '[1]2. Prepare'!$E$6)</f>
        <v>45033</v>
      </c>
      <c r="E11" s="91"/>
      <c r="F11" s="91" t="s">
        <v>40</v>
      </c>
      <c r="G11" s="91" t="s">
        <v>45</v>
      </c>
      <c r="H11" s="91" t="s">
        <v>42</v>
      </c>
      <c r="I11" s="89" t="str">
        <f>IF('[1]Lists and Calcs (Hidden)'!AJ35="","",
                    IF(INDEX('[1]5. Assess Risks'!$D$6:$D$704,MATCH('[1]Lists and Calcs (Hidden)'!AJ35,'[1]Lists and Calcs (Hidden)'!$AB$34:$AB$732,0))="","",
                                    INDEX('[1]5. Assess Risks'!$D$6:$D$704,MATCH('[1]Lists and Calcs (Hidden)'!AJ35,'[1]Lists and Calcs (Hidden)'!$AB$34:$AB$732,0))
))</f>
        <v>WAF, Email Filtering, Vulnerability Management Program, Application Safelisting, Security Awareness Training Program, Phishing Simulations, Firewall, Endpoint Detection and Response, Intrusion Detection and Protection, Data Loss Prevention.</v>
      </c>
      <c r="J11" s="91"/>
      <c r="K11" s="91"/>
      <c r="L11" s="91"/>
      <c r="M11" s="91"/>
      <c r="N11" s="91"/>
      <c r="O11" s="91"/>
      <c r="P11" s="92" t="str">
        <f>IF('[1]Lists and Calcs (Hidden)'!AJ35="","",
                    IF(INDEX('[1]5. Assess Risks'!$G$6:$G$704,MATCH('[1]Lists and Calcs (Hidden)'!AJ35,'[1]Lists and Calcs (Hidden)'!$AB$34:$AB$732,0))="","",
                                    INDEX('[1]5. Assess Risks'!$G$6:$G$704,MATCH('[1]Lists and Calcs (Hidden)'!AJ35,'[1]Lists and Calcs (Hidden)'!$AB$34:$AB$732,0))
))</f>
        <v>Unlikely</v>
      </c>
      <c r="Q11" s="92" t="str">
        <f>IF('[1]Lists and Calcs (Hidden)'!AJ35="","",
                    IF(INDEX('[1]5. Assess Risks'!$H$6:$H$704,MATCH('[1]Lists and Calcs (Hidden)'!AJ35,'[1]Lists and Calcs (Hidden)'!$AB$34:$AB$732,0))="","",
                                    INDEX('[1]5. Assess Risks'!$H$6:$H$704,MATCH('[1]Lists and Calcs (Hidden)'!AJ35,'[1]Lists and Calcs (Hidden)'!$AB$34:$AB$732,0))
))</f>
        <v>Major</v>
      </c>
      <c r="R11" s="93" t="str">
        <f>IFERROR(IF('[1]2. Prepare'!$O$50="Quantitative",INDEX('[1]Lists and Calcs (Hidden)'!$M$12:$Q$16,MATCH('[1]6. Risk Register Integration'!P11,'[1]Lists and Calcs (Hidden)'!$K$12:$K$16,0),MATCH('[1]6. Risk Register Integration'!Q11,'[1]Lists and Calcs (Hidden)'!$M$10:$Q$10,0)),INDEX('[1]Lists and Calcs (Hidden)'!$Z$12:$AD$16,MATCH('[1]6. Risk Register Integration'!P11,'[1]Lists and Calcs (Hidden)'!$X$12:$X$16,0),MATCH('[1]6. Risk Register Integration'!Q11,'[1]Lists and Calcs (Hidden)'!$Z$10:$AD$10,0))),"")</f>
        <v>Medium</v>
      </c>
      <c r="S11" s="94" t="str">
        <f>IF('[1]Lists and Calcs (Hidden)'!AJ35="","",
                    IF(INDEX('[1]5. Assess Risks'!$J$6:$J$704,MATCH('[1]Lists and Calcs (Hidden)'!AJ35,'[1]Lists and Calcs (Hidden)'!$AB$34:$AB$732,0))="","",
                                    INDEX('[1]5. Assess Risks'!$J$6:$J$704,MATCH('[1]Lists and Calcs (Hidden)'!AJ35,'[1]Lists and Calcs (Hidden)'!$AB$34:$AB$732,0))
))</f>
        <v>No New Actions Needed</v>
      </c>
      <c r="T11" s="80"/>
      <c r="U11" s="81"/>
      <c r="V11" s="82"/>
      <c r="W11" s="81"/>
      <c r="X11" s="81"/>
      <c r="Y11" s="89" t="str">
        <f>IF('[1]Lists and Calcs (Hidden)'!AJ35="","",
                    IF(INDEX('[1]5. Assess Risks'!$L$6:$L$704,MATCH('[1]Lists and Calcs (Hidden)'!AJ35,'[1]Lists and Calcs (Hidden)'!$AB$34:$AB$732,0))="","",
                                    INDEX('[1]5. Assess Risks'!$L$6:$L$704,MATCH('[1]Lists and Calcs (Hidden)'!AJ35,'[1]Lists and Calcs (Hidden)'!$AB$34:$AB$732,0))
))</f>
        <v>Source of residual risks: Zero days, EDR bypasses, and living off the land.</v>
      </c>
      <c r="Z11" s="95"/>
      <c r="AA11" s="96"/>
      <c r="AB11" s="85" t="s">
        <v>43</v>
      </c>
      <c r="AC11" s="86" t="s">
        <v>46</v>
      </c>
      <c r="AD11" s="87" t="str">
        <f>IFERROR(IF('[1]2. Prepare'!$O$50="Quantitative",INDEX('[1]Lists and Calcs (Hidden)'!$M$12:$Q$16,MATCH('[1]6. Risk Register Integration'!AB11,'[1]Lists and Calcs (Hidden)'!$K$12:$K$16,0),MATCH('[1]6. Risk Register Integration'!AC11,'[1]Lists and Calcs (Hidden)'!$M$10:$Q$10,0)),INDEX('[1]Lists and Calcs (Hidden)'!$Z$12:$AD$16,MATCH('[1]6. Risk Register Integration'!AB11,'[1]Lists and Calcs (Hidden)'!$X$12:$X$16,0),MATCH('[1]6. Risk Register Integration'!AC11,'[1]Lists and Calcs (Hidden)'!$Z$10:$AD$10,0))),"")</f>
        <v>Low</v>
      </c>
      <c r="AE11" s="54"/>
    </row>
    <row r="12" spans="1:31" ht="330" customHeight="1" x14ac:dyDescent="0.2">
      <c r="B12" s="97"/>
      <c r="C12" s="98" t="str">
        <f>IF('[1]Lists and Calcs (Hidden)'!AJ36="","",
                    IF(INDEX('[1]5. Assess Risks'!$B$6:$B$704,MATCH('[1]Lists and Calcs (Hidden)'!AJ36,'[1]Lists and Calcs (Hidden)'!$AB$34:$AB$732,0))="","",
                                    INDEX('[1]5. Assess Risks'!$B$6:$B$704,MATCH('[1]Lists and Calcs (Hidden)'!AJ36,'[1]Lists and Calcs (Hidden)'!$AB$34:$AB$732,0))
))</f>
        <v>TRA1.5 - ERP System - Attackers install malware on the device to scan and enumerate local files and folders. This information could include sensitive documents, configuration files, or even other user credentials stored locally. The malware then exfiltrates this discovered data to the attacker, granting them unauthorized access to information stored on the device.</v>
      </c>
      <c r="D12" s="90">
        <f>IF(C12="", "", '[1]2. Prepare'!$E$6)</f>
        <v>45033</v>
      </c>
      <c r="E12" s="91"/>
      <c r="F12" s="91" t="s">
        <v>40</v>
      </c>
      <c r="G12" s="91" t="s">
        <v>47</v>
      </c>
      <c r="H12" s="91" t="s">
        <v>42</v>
      </c>
      <c r="I12" s="98" t="str">
        <f>IF('[1]Lists and Calcs (Hidden)'!AJ36="","",
                    IF(INDEX('[1]5. Assess Risks'!$D$6:$D$704,MATCH('[1]Lists and Calcs (Hidden)'!AJ36,'[1]Lists and Calcs (Hidden)'!$AB$34:$AB$732,0))="","",
                                    INDEX('[1]5. Assess Risks'!$D$6:$D$704,MATCH('[1]Lists and Calcs (Hidden)'!AJ36,'[1]Lists and Calcs (Hidden)'!$AB$34:$AB$732,0))
))</f>
        <v>WAF, Email Filtering, Vulnerability Management Program, Application Safelisting, Security Awareness Training Program, Phishing Simulations, Firewall, Endpoint Detection and Response, Intrusion Detection and Protection, Data Loss Prevention.</v>
      </c>
      <c r="J12" s="91"/>
      <c r="K12" s="91"/>
      <c r="L12" s="91"/>
      <c r="M12" s="91"/>
      <c r="N12" s="91"/>
      <c r="O12" s="91"/>
      <c r="P12" s="99" t="str">
        <f>IF('[1]Lists and Calcs (Hidden)'!AJ36="","",
                    IF(INDEX('[1]5. Assess Risks'!$G$6:$G$704,MATCH('[1]Lists and Calcs (Hidden)'!AJ36,'[1]Lists and Calcs (Hidden)'!$AB$34:$AB$732,0))="","",
                                    INDEX('[1]5. Assess Risks'!$G$6:$G$704,MATCH('[1]Lists and Calcs (Hidden)'!AJ36,'[1]Lists and Calcs (Hidden)'!$AB$34:$AB$732,0))
))</f>
        <v>Possible</v>
      </c>
      <c r="Q12" s="99" t="str">
        <f>IF('[1]Lists and Calcs (Hidden)'!AJ36="","",
                    IF(INDEX('[1]5. Assess Risks'!$H$6:$H$704,MATCH('[1]Lists and Calcs (Hidden)'!AJ36,'[1]Lists and Calcs (Hidden)'!$AB$34:$AB$732,0))="","",
                                    INDEX('[1]5. Assess Risks'!$H$6:$H$704,MATCH('[1]Lists and Calcs (Hidden)'!AJ36,'[1]Lists and Calcs (Hidden)'!$AB$34:$AB$732,0))
))</f>
        <v>Catastrophic</v>
      </c>
      <c r="R12" s="100" t="str">
        <f>IFERROR(IF('[1]2. Prepare'!$O$50="Quantitative",INDEX('[1]Lists and Calcs (Hidden)'!$M$12:$Q$16,MATCH('[1]6. Risk Register Integration'!P12,'[1]Lists and Calcs (Hidden)'!$K$12:$K$16,0),MATCH('[1]6. Risk Register Integration'!Q12,'[1]Lists and Calcs (Hidden)'!$M$10:$Q$10,0)),INDEX('[1]Lists and Calcs (Hidden)'!$Z$12:$AD$16,MATCH('[1]6. Risk Register Integration'!P12,'[1]Lists and Calcs (Hidden)'!$X$12:$X$16,0),MATCH('[1]6. Risk Register Integration'!Q12,'[1]Lists and Calcs (Hidden)'!$Z$10:$AD$10,0))),"")</f>
        <v>High</v>
      </c>
      <c r="S12" s="101" t="str">
        <f>IF('[1]Lists and Calcs (Hidden)'!AJ36="","",
                    IF(INDEX('[1]5. Assess Risks'!$J$6:$J$704,MATCH('[1]Lists and Calcs (Hidden)'!AJ36,'[1]Lists and Calcs (Hidden)'!$AB$34:$AB$732,0))="","",
                                    INDEX('[1]5. Assess Risks'!$J$6:$J$704,MATCH('[1]Lists and Calcs (Hidden)'!AJ36,'[1]Lists and Calcs (Hidden)'!$AB$34:$AB$732,0))
))</f>
        <v>Mitigate the Risk</v>
      </c>
      <c r="T12" s="80" t="s">
        <v>48</v>
      </c>
      <c r="U12" s="81"/>
      <c r="V12" s="82">
        <v>45591</v>
      </c>
      <c r="W12" s="81"/>
      <c r="X12" s="81"/>
      <c r="Y12" s="98" t="str">
        <f>IF('[1]Lists and Calcs (Hidden)'!AJ36="","",
                    IF(INDEX('[1]5. Assess Risks'!$L$6:$L$704,MATCH('[1]Lists and Calcs (Hidden)'!AJ36,'[1]Lists and Calcs (Hidden)'!$AB$34:$AB$732,0))="","",
                                    INDEX('[1]5. Assess Risks'!$L$6:$L$704,MATCH('[1]Lists and Calcs (Hidden)'!AJ36,'[1]Lists and Calcs (Hidden)'!$AB$34:$AB$732,0))
))</f>
        <v>Source of residual risks: Zero-days, living off the land, lateral account movement.</v>
      </c>
      <c r="Z12" s="95"/>
      <c r="AA12" s="96"/>
      <c r="AB12" s="85" t="s">
        <v>49</v>
      </c>
      <c r="AC12" s="86" t="s">
        <v>46</v>
      </c>
      <c r="AD12" s="87" t="str">
        <f>IFERROR(IF('[1]2. Prepare'!$O$50="Quantitative",INDEX('[1]Lists and Calcs (Hidden)'!$M$12:$Q$16,MATCH('[1]6. Risk Register Integration'!AB12,'[1]Lists and Calcs (Hidden)'!$K$12:$K$16,0),MATCH('[1]6. Risk Register Integration'!AC12,'[1]Lists and Calcs (Hidden)'!$M$10:$Q$10,0)),INDEX('[1]Lists and Calcs (Hidden)'!$Z$12:$AD$16,MATCH('[1]6. Risk Register Integration'!AB12,'[1]Lists and Calcs (Hidden)'!$X$12:$X$16,0),MATCH('[1]6. Risk Register Integration'!AC12,'[1]Lists and Calcs (Hidden)'!$Z$10:$AD$10,0))),"")</f>
        <v>Medium</v>
      </c>
      <c r="AE12" s="54"/>
    </row>
    <row r="13" spans="1:31" ht="330" customHeight="1" x14ac:dyDescent="0.2">
      <c r="B13" s="88"/>
      <c r="C13" s="89" t="str">
        <f>IF('[1]Lists and Calcs (Hidden)'!AJ37="","",
                    IF(INDEX('[1]5. Assess Risks'!$B$6:$B$704,MATCH('[1]Lists and Calcs (Hidden)'!AJ37,'[1]Lists and Calcs (Hidden)'!$AB$34:$AB$732,0))="","",
                                    INDEX('[1]5. Assess Risks'!$B$6:$B$704,MATCH('[1]Lists and Calcs (Hidden)'!AJ37,'[1]Lists and Calcs (Hidden)'!$AB$34:$AB$732,0))
))</f>
        <v>TRA1.7 - ERP System - Attackers deploy malicious software on the device to steal browsing history and downloaded files; search and collect specific file types; target saved credentials in applications, websites, and network shares; and collect hardware specifications, software versions, and network configurations.</v>
      </c>
      <c r="D13" s="90">
        <f>IF(C13="", "", '[1]2. Prepare'!$E$6)</f>
        <v>45033</v>
      </c>
      <c r="E13" s="91"/>
      <c r="F13" s="91" t="s">
        <v>40</v>
      </c>
      <c r="G13" s="91" t="s">
        <v>50</v>
      </c>
      <c r="H13" s="91" t="s">
        <v>42</v>
      </c>
      <c r="I13" s="89" t="str">
        <f>IF('[1]Lists and Calcs (Hidden)'!AJ37="","",
                    IF(INDEX('[1]5. Assess Risks'!$D$6:$D$704,MATCH('[1]Lists and Calcs (Hidden)'!AJ37,'[1]Lists and Calcs (Hidden)'!$AB$34:$AB$732,0))="","",
                                    INDEX('[1]5. Assess Risks'!$D$6:$D$704,MATCH('[1]Lists and Calcs (Hidden)'!AJ37,'[1]Lists and Calcs (Hidden)'!$AB$34:$AB$732,0))
))</f>
        <v>WAF, Email Filtering, Vulnerability Management Program, Application Safelisting, Security Awareness Training Program, Phishing Simulations, Firewall, Endpoint Detection and Response, Intrusion Detection and Protection, Data Loss Prevention.</v>
      </c>
      <c r="J13" s="91"/>
      <c r="K13" s="91"/>
      <c r="L13" s="91"/>
      <c r="M13" s="91"/>
      <c r="N13" s="91"/>
      <c r="O13" s="91"/>
      <c r="P13" s="92" t="str">
        <f>IF('[1]Lists and Calcs (Hidden)'!AJ37="","",
                    IF(INDEX('[1]5. Assess Risks'!$G$6:$G$704,MATCH('[1]Lists and Calcs (Hidden)'!AJ37,'[1]Lists and Calcs (Hidden)'!$AB$34:$AB$732,0))="","",
                                    INDEX('[1]5. Assess Risks'!$G$6:$G$704,MATCH('[1]Lists and Calcs (Hidden)'!AJ37,'[1]Lists and Calcs (Hidden)'!$AB$34:$AB$732,0))
))</f>
        <v>Possible</v>
      </c>
      <c r="Q13" s="92" t="str">
        <f>IF('[1]Lists and Calcs (Hidden)'!AJ37="","",
                    IF(INDEX('[1]5. Assess Risks'!$H$6:$H$704,MATCH('[1]Lists and Calcs (Hidden)'!AJ37,'[1]Lists and Calcs (Hidden)'!$AB$34:$AB$732,0))="","",
                                    INDEX('[1]5. Assess Risks'!$H$6:$H$704,MATCH('[1]Lists and Calcs (Hidden)'!AJ37,'[1]Lists and Calcs (Hidden)'!$AB$34:$AB$732,0))
))</f>
        <v>Minor</v>
      </c>
      <c r="R13" s="93" t="str">
        <f>IFERROR(IF('[1]2. Prepare'!$O$50="Quantitative",INDEX('[1]Lists and Calcs (Hidden)'!$M$12:$Q$16,MATCH('[1]6. Risk Register Integration'!P13,'[1]Lists and Calcs (Hidden)'!$K$12:$K$16,0),MATCH('[1]6. Risk Register Integration'!Q13,'[1]Lists and Calcs (Hidden)'!$M$10:$Q$10,0)),INDEX('[1]Lists and Calcs (Hidden)'!$Z$12:$AD$16,MATCH('[1]6. Risk Register Integration'!P13,'[1]Lists and Calcs (Hidden)'!$X$12:$X$16,0),MATCH('[1]6. Risk Register Integration'!Q13,'[1]Lists and Calcs (Hidden)'!$Z$10:$AD$10,0))),"")</f>
        <v>Medium</v>
      </c>
      <c r="S13" s="94" t="str">
        <f>IF('[1]Lists and Calcs (Hidden)'!AJ37="","",
                    IF(INDEX('[1]5. Assess Risks'!$J$6:$J$704,MATCH('[1]Lists and Calcs (Hidden)'!AJ37,'[1]Lists and Calcs (Hidden)'!$AB$34:$AB$732,0))="","",
                                    INDEX('[1]5. Assess Risks'!$J$6:$J$704,MATCH('[1]Lists and Calcs (Hidden)'!AJ37,'[1]Lists and Calcs (Hidden)'!$AB$34:$AB$732,0))
))</f>
        <v>No New Actions Needed</v>
      </c>
      <c r="T13" s="80" t="s">
        <v>51</v>
      </c>
      <c r="U13" s="81"/>
      <c r="V13" s="82">
        <v>45591</v>
      </c>
      <c r="W13" s="81"/>
      <c r="X13" s="81"/>
      <c r="Y13" s="89" t="str">
        <f>IF('[1]Lists and Calcs (Hidden)'!AJ37="","",
                    IF(INDEX('[1]5. Assess Risks'!$L$6:$L$704,MATCH('[1]Lists and Calcs (Hidden)'!AJ37,'[1]Lists and Calcs (Hidden)'!$AB$34:$AB$732,0))="","",
                                    INDEX('[1]5. Assess Risks'!$L$6:$L$704,MATCH('[1]Lists and Calcs (Hidden)'!AJ37,'[1]Lists and Calcs (Hidden)'!$AB$34:$AB$732,0))
))</f>
        <v>Source of residual risks: Social engineering, zero-days, malware, pass-the-hash attack.</v>
      </c>
      <c r="Z13" s="95"/>
      <c r="AA13" s="96"/>
      <c r="AB13" s="85" t="s">
        <v>49</v>
      </c>
      <c r="AC13" s="86" t="s">
        <v>46</v>
      </c>
      <c r="AD13" s="87" t="str">
        <f>IFERROR(IF('[1]2. Prepare'!$O$50="Quantitative",INDEX('[1]Lists and Calcs (Hidden)'!$M$12:$Q$16,MATCH('[1]6. Risk Register Integration'!AB13,'[1]Lists and Calcs (Hidden)'!$K$12:$K$16,0),MATCH('[1]6. Risk Register Integration'!AC13,'[1]Lists and Calcs (Hidden)'!$M$10:$Q$10,0)),INDEX('[1]Lists and Calcs (Hidden)'!$Z$12:$AD$16,MATCH('[1]6. Risk Register Integration'!AB13,'[1]Lists and Calcs (Hidden)'!$X$12:$X$16,0),MATCH('[1]6. Risk Register Integration'!AC13,'[1]Lists and Calcs (Hidden)'!$Z$10:$AD$10,0))),"")</f>
        <v>Medium</v>
      </c>
      <c r="AE13" s="54"/>
    </row>
    <row r="14" spans="1:31" ht="330" customHeight="1" x14ac:dyDescent="0.2">
      <c r="B14" s="97"/>
      <c r="C14" s="98" t="str">
        <f>IF('[1]Lists and Calcs (Hidden)'!AJ38="","",
                    IF(INDEX('[1]5. Assess Risks'!$B$6:$B$704,MATCH('[1]Lists and Calcs (Hidden)'!AJ38,'[1]Lists and Calcs (Hidden)'!$AB$34:$AB$732,0))="","",
                                    INDEX('[1]5. Assess Risks'!$B$6:$B$704,MATCH('[1]Lists and Calcs (Hidden)'!AJ38,'[1]Lists and Calcs (Hidden)'!$AB$34:$AB$732,0))
))</f>
        <v>TRA1.8 - ERP System - Attackers gain access to the device through a phishing attack. They trick an employee into downloading a malicious attachment that installs malware. The malware surreptitiously collects sensitive data stored on the device, including proprietary business information, personal identification, or access credentials. The malware then uses available network connections to transmit the collected data secretly to an external command-and-control server.</v>
      </c>
      <c r="D14" s="90">
        <f>IF(C14="", "", '[1]2. Prepare'!$E$6)</f>
        <v>45033</v>
      </c>
      <c r="E14" s="91"/>
      <c r="F14" s="91" t="s">
        <v>40</v>
      </c>
      <c r="G14" s="91" t="s">
        <v>41</v>
      </c>
      <c r="H14" s="91" t="s">
        <v>42</v>
      </c>
      <c r="I14" s="98" t="str">
        <f>IF('[1]Lists and Calcs (Hidden)'!AJ38="","",
                    IF(INDEX('[1]5. Assess Risks'!$D$6:$D$704,MATCH('[1]Lists and Calcs (Hidden)'!AJ38,'[1]Lists and Calcs (Hidden)'!$AB$34:$AB$732,0))="","",
                                    INDEX('[1]5. Assess Risks'!$D$6:$D$704,MATCH('[1]Lists and Calcs (Hidden)'!AJ38,'[1]Lists and Calcs (Hidden)'!$AB$34:$AB$732,0))
))</f>
        <v>WAF, Email Filtering, Vulnerability Management Program, Application Safelisting, Security Awareness Training Program, Phishing Simulations, Firewall, Endpoint Detection and Response, Intrusion Detection and Protection, Data Loss Prevention.</v>
      </c>
      <c r="J14" s="91"/>
      <c r="K14" s="91"/>
      <c r="L14" s="91"/>
      <c r="M14" s="91"/>
      <c r="N14" s="91"/>
      <c r="O14" s="91"/>
      <c r="P14" s="99" t="str">
        <f>IF('[1]Lists and Calcs (Hidden)'!AJ38="","",
                    IF(INDEX('[1]5. Assess Risks'!$G$6:$G$704,MATCH('[1]Lists and Calcs (Hidden)'!AJ38,'[1]Lists and Calcs (Hidden)'!$AB$34:$AB$732,0))="","",
                                    INDEX('[1]5. Assess Risks'!$G$6:$G$704,MATCH('[1]Lists and Calcs (Hidden)'!AJ38,'[1]Lists and Calcs (Hidden)'!$AB$34:$AB$732,0))
))</f>
        <v>Unlikely</v>
      </c>
      <c r="Q14" s="99" t="str">
        <f>IF('[1]Lists and Calcs (Hidden)'!AJ38="","",
                    IF(INDEX('[1]5. Assess Risks'!$H$6:$H$704,MATCH('[1]Lists and Calcs (Hidden)'!AJ38,'[1]Lists and Calcs (Hidden)'!$AB$34:$AB$732,0))="","",
                                    INDEX('[1]5. Assess Risks'!$H$6:$H$704,MATCH('[1]Lists and Calcs (Hidden)'!AJ38,'[1]Lists and Calcs (Hidden)'!$AB$34:$AB$732,0))
))</f>
        <v>Moderate</v>
      </c>
      <c r="R14" s="100" t="str">
        <f>IFERROR(IF('[1]2. Prepare'!$O$50="Quantitative",INDEX('[1]Lists and Calcs (Hidden)'!$M$12:$Q$16,MATCH('[1]6. Risk Register Integration'!P14,'[1]Lists and Calcs (Hidden)'!$K$12:$K$16,0),MATCH('[1]6. Risk Register Integration'!Q14,'[1]Lists and Calcs (Hidden)'!$M$10:$Q$10,0)),INDEX('[1]Lists and Calcs (Hidden)'!$Z$12:$AD$16,MATCH('[1]6. Risk Register Integration'!P14,'[1]Lists and Calcs (Hidden)'!$X$12:$X$16,0),MATCH('[1]6. Risk Register Integration'!Q14,'[1]Lists and Calcs (Hidden)'!$Z$10:$AD$10,0))),"")</f>
        <v>Medium</v>
      </c>
      <c r="S14" s="101" t="s">
        <v>52</v>
      </c>
      <c r="T14" s="80"/>
      <c r="U14" s="81"/>
      <c r="V14" s="82"/>
      <c r="W14" s="81"/>
      <c r="X14" s="81"/>
      <c r="Y14" s="98" t="str">
        <f>IF('[1]Lists and Calcs (Hidden)'!AJ38="","",
                    IF(INDEX('[1]5. Assess Risks'!$L$6:$L$704,MATCH('[1]Lists and Calcs (Hidden)'!AJ38,'[1]Lists and Calcs (Hidden)'!$AB$34:$AB$732,0))="","",
                                    INDEX('[1]5. Assess Risks'!$L$6:$L$704,MATCH('[1]Lists and Calcs (Hidden)'!AJ38,'[1]Lists and Calcs (Hidden)'!$AB$34:$AB$732,0))
))</f>
        <v>Source of residual risks: Internal discovery limitations if the attacker has already established a foothold inside the network, as the firewalls and IPS become less effective.</v>
      </c>
      <c r="Z14" s="95"/>
      <c r="AA14" s="96"/>
      <c r="AB14" s="85" t="s">
        <v>53</v>
      </c>
      <c r="AC14" s="86" t="s">
        <v>44</v>
      </c>
      <c r="AD14" s="87" t="str">
        <f>IFERROR(IF('[1]2. Prepare'!$O$50="Quantitative",INDEX('[1]Lists and Calcs (Hidden)'!$M$12:$Q$16,MATCH('[1]6. Risk Register Integration'!AB14,'[1]Lists and Calcs (Hidden)'!$K$12:$K$16,0),MATCH('[1]6. Risk Register Integration'!AC14,'[1]Lists and Calcs (Hidden)'!$M$10:$Q$10,0)),INDEX('[1]Lists and Calcs (Hidden)'!$Z$12:$AD$16,MATCH('[1]6. Risk Register Integration'!AB14,'[1]Lists and Calcs (Hidden)'!$X$12:$X$16,0),MATCH('[1]6. Risk Register Integration'!AC14,'[1]Lists and Calcs (Hidden)'!$Z$10:$AD$10,0))),"")</f>
        <v>Very Low</v>
      </c>
      <c r="AE14" s="54"/>
    </row>
    <row r="15" spans="1:31" ht="330" customHeight="1" x14ac:dyDescent="0.2">
      <c r="B15" s="97"/>
      <c r="C15" s="89" t="str">
        <f>IF('[1]Lists and Calcs (Hidden)'!AJ39="","",
                    IF(INDEX('[1]5. Assess Risks'!$B$6:$B$704,MATCH('[1]Lists and Calcs (Hidden)'!AJ39,'[1]Lists and Calcs (Hidden)'!$AB$34:$AB$732,0))="","",
                                    INDEX('[1]5. Assess Risks'!$B$6:$B$704,MATCH('[1]Lists and Calcs (Hidden)'!AJ39,'[1]Lists and Calcs (Hidden)'!$AB$34:$AB$732,0))
))</f>
        <v>TRA1.9 - ERP System - Attackers could gain unauthorized physical access to a server room and exploit a vulnerability in the server's firmware or hardware configuration to install malicious code. They could then steal data, install additional malware, or attack other systems on the network. Conversely, attackers could use a spearphishing campaign to deliver a malicious link or attachment to an IT administrator. Once clicked, the link or attachment could exploit a vulnerability, allowing unauthorized access to the server. Attackers might also use stolen credentials obtained through credential stuffing or phishing to log into a server directly.</v>
      </c>
      <c r="D15" s="90">
        <f>IF(C15="", "", '[1]2. Prepare'!$E$6)</f>
        <v>45033</v>
      </c>
      <c r="E15" s="91"/>
      <c r="F15" s="91" t="s">
        <v>40</v>
      </c>
      <c r="G15" s="91" t="s">
        <v>45</v>
      </c>
      <c r="H15" s="91" t="s">
        <v>42</v>
      </c>
      <c r="I15" s="89" t="str">
        <f>IF('[1]Lists and Calcs (Hidden)'!AJ39="","",
                    IF(INDEX('[1]5. Assess Risks'!$D$6:$D$704,MATCH('[1]Lists and Calcs (Hidden)'!AJ39,'[1]Lists and Calcs (Hidden)'!$AB$34:$AB$732,0))="","",
                                    INDEX('[1]5. Assess Risks'!$D$6:$D$704,MATCH('[1]Lists and Calcs (Hidden)'!AJ39,'[1]Lists and Calcs (Hidden)'!$AB$34:$AB$732,0))
))</f>
        <v>WAF, Email Filtering, Vulnerability Management Program, Application Safelisting, Security Awareness Training Program, Phishing Simulations, Firewall, Endpoint Detection and Response, Intrusion Detection and Protection, Data Loss Prevention.</v>
      </c>
      <c r="J15" s="91"/>
      <c r="K15" s="91"/>
      <c r="L15" s="91"/>
      <c r="M15" s="91"/>
      <c r="N15" s="91"/>
      <c r="O15" s="91"/>
      <c r="P15" s="92" t="str">
        <f>IF('[1]Lists and Calcs (Hidden)'!AJ39="","",
                    IF(INDEX('[1]5. Assess Risks'!$G$6:$G$704,MATCH('[1]Lists and Calcs (Hidden)'!AJ39,'[1]Lists and Calcs (Hidden)'!$AB$34:$AB$732,0))="","",
                                    INDEX('[1]5. Assess Risks'!$G$6:$G$704,MATCH('[1]Lists and Calcs (Hidden)'!AJ39,'[1]Lists and Calcs (Hidden)'!$AB$34:$AB$732,0))
))</f>
        <v>Possible</v>
      </c>
      <c r="Q15" s="92" t="str">
        <f>IF('[1]Lists and Calcs (Hidden)'!AJ39="","",
                    IF(INDEX('[1]5. Assess Risks'!$H$6:$H$704,MATCH('[1]Lists and Calcs (Hidden)'!AJ39,'[1]Lists and Calcs (Hidden)'!$AB$34:$AB$732,0))="","",
                                    INDEX('[1]5. Assess Risks'!$H$6:$H$704,MATCH('[1]Lists and Calcs (Hidden)'!AJ39,'[1]Lists and Calcs (Hidden)'!$AB$34:$AB$732,0))
))</f>
        <v>Major</v>
      </c>
      <c r="R15" s="93" t="str">
        <f>IFERROR(IF('[1]2. Prepare'!$O$50="Quantitative",INDEX('[1]Lists and Calcs (Hidden)'!$M$12:$Q$16,MATCH('[1]6. Risk Register Integration'!P15,'[1]Lists and Calcs (Hidden)'!$K$12:$K$16,0),MATCH('[1]6. Risk Register Integration'!Q15,'[1]Lists and Calcs (Hidden)'!$M$10:$Q$10,0)),INDEX('[1]Lists and Calcs (Hidden)'!$Z$12:$AD$16,MATCH('[1]6. Risk Register Integration'!P15,'[1]Lists and Calcs (Hidden)'!$X$12:$X$16,0),MATCH('[1]6. Risk Register Integration'!Q15,'[1]Lists and Calcs (Hidden)'!$Z$10:$AD$10,0))),"")</f>
        <v>Medium</v>
      </c>
      <c r="S15" s="94" t="str">
        <f>IF('[1]Lists and Calcs (Hidden)'!AJ39="","",
                    IF(INDEX('[1]5. Assess Risks'!$J$6:$J$704,MATCH('[1]Lists and Calcs (Hidden)'!AJ39,'[1]Lists and Calcs (Hidden)'!$AB$34:$AB$732,0))="","",
                                    INDEX('[1]5. Assess Risks'!$J$6:$J$704,MATCH('[1]Lists and Calcs (Hidden)'!AJ39,'[1]Lists and Calcs (Hidden)'!$AB$34:$AB$732,0))
))</f>
        <v>Formally Accept the Risk</v>
      </c>
      <c r="T15" s="102"/>
      <c r="U15" s="103"/>
      <c r="V15" s="104"/>
      <c r="W15" s="103"/>
      <c r="X15" s="103"/>
      <c r="Y15" s="89" t="str">
        <f>IF('[1]Lists and Calcs (Hidden)'!AJ39="","",
                    IF(INDEX('[1]5. Assess Risks'!$L$6:$L$704,MATCH('[1]Lists and Calcs (Hidden)'!AJ39,'[1]Lists and Calcs (Hidden)'!$AB$34:$AB$732,0))="","",
                                    INDEX('[1]5. Assess Risks'!$L$6:$L$704,MATCH('[1]Lists and Calcs (Hidden)'!AJ39,'[1]Lists and Calcs (Hidden)'!$AB$34:$AB$732,0))
))</f>
        <v>Source of residual risks: Zero-Days, stolen credentials, network pivoting, living off the land.</v>
      </c>
      <c r="Z15" s="95"/>
      <c r="AA15" s="96"/>
      <c r="AB15" s="85" t="s">
        <v>49</v>
      </c>
      <c r="AC15" s="86" t="s">
        <v>44</v>
      </c>
      <c r="AD15" s="87" t="str">
        <f>IFERROR(IF('[1]2. Prepare'!$O$50="Quantitative",INDEX('[1]Lists and Calcs (Hidden)'!$M$12:$Q$16,MATCH('[1]6. Risk Register Integration'!AB15,'[1]Lists and Calcs (Hidden)'!$K$12:$K$16,0),MATCH('[1]6. Risk Register Integration'!AC15,'[1]Lists and Calcs (Hidden)'!$M$10:$Q$10,0)),INDEX('[1]Lists and Calcs (Hidden)'!$Z$12:$AD$16,MATCH('[1]6. Risk Register Integration'!AB15,'[1]Lists and Calcs (Hidden)'!$X$12:$X$16,0),MATCH('[1]6. Risk Register Integration'!AC15,'[1]Lists and Calcs (Hidden)'!$Z$10:$AD$10,0))),"")</f>
        <v>Very Low</v>
      </c>
      <c r="AE15" s="54"/>
    </row>
    <row r="16" spans="1:31" ht="330" customHeight="1" x14ac:dyDescent="0.2">
      <c r="B16" s="88"/>
      <c r="C16" s="98" t="str">
        <f>IF('[1]Lists and Calcs (Hidden)'!AJ40="","",
                    IF(INDEX('[1]5. Assess Risks'!$B$6:$B$704,MATCH('[1]Lists and Calcs (Hidden)'!AJ40,'[1]Lists and Calcs (Hidden)'!$AB$34:$AB$732,0))="","",
                                    INDEX('[1]5. Assess Risks'!$B$6:$B$704,MATCH('[1]Lists and Calcs (Hidden)'!AJ40,'[1]Lists and Calcs (Hidden)'!$AB$34:$AB$732,0))
))</f>
        <v>TRA1.10 - ERP System - Attackers compromise a server through a software vulnerability and execute malicious code directly on the server's hardware to establish persistent access, control server operations, or spread to other systems. Techniques might include using PowerShell scripts, scheduled tasks, or exploiting server management software to run malicious code. This malicious code could take many forms, such as a cryptojacker that uses the server's processing power for cryptocurrency mining or ransomware that encrypts files stored on the server's disks.</v>
      </c>
      <c r="D16" s="90">
        <f>IF(C16="", "", '[1]2. Prepare'!$E$6)</f>
        <v>45033</v>
      </c>
      <c r="E16" s="91"/>
      <c r="F16" s="91" t="s">
        <v>40</v>
      </c>
      <c r="G16" s="91" t="s">
        <v>47</v>
      </c>
      <c r="H16" s="91" t="s">
        <v>42</v>
      </c>
      <c r="I16" s="98" t="str">
        <f>IF('[1]Lists and Calcs (Hidden)'!AJ40="","",
                    IF(INDEX('[1]5. Assess Risks'!$D$6:$D$704,MATCH('[1]Lists and Calcs (Hidden)'!AJ40,'[1]Lists and Calcs (Hidden)'!$AB$34:$AB$732,0))="","",
                                    INDEX('[1]5. Assess Risks'!$D$6:$D$704,MATCH('[1]Lists and Calcs (Hidden)'!AJ40,'[1]Lists and Calcs (Hidden)'!$AB$34:$AB$732,0))
))</f>
        <v>WAF, Email Filtering, Vulnerability Management Program, Application Safelisting, Security Awareness Training Program, Phishing Simulations, Firewall, Endpoint Detection and Response, Intrusion Detection and Protection, Data Loss Prevention.</v>
      </c>
      <c r="J16" s="91"/>
      <c r="K16" s="91"/>
      <c r="L16" s="91"/>
      <c r="M16" s="91"/>
      <c r="N16" s="91"/>
      <c r="O16" s="91"/>
      <c r="P16" s="99" t="str">
        <f>IF('[1]Lists and Calcs (Hidden)'!AJ40="","",
                    IF(INDEX('[1]5. Assess Risks'!$G$6:$G$704,MATCH('[1]Lists and Calcs (Hidden)'!AJ40,'[1]Lists and Calcs (Hidden)'!$AB$34:$AB$732,0))="","",
                                    INDEX('[1]5. Assess Risks'!$G$6:$G$704,MATCH('[1]Lists and Calcs (Hidden)'!AJ40,'[1]Lists and Calcs (Hidden)'!$AB$34:$AB$732,0))
))</f>
        <v>Possible</v>
      </c>
      <c r="Q16" s="99" t="str">
        <f>IF('[1]Lists and Calcs (Hidden)'!AJ40="","",
                    IF(INDEX('[1]5. Assess Risks'!$H$6:$H$704,MATCH('[1]Lists and Calcs (Hidden)'!AJ40,'[1]Lists and Calcs (Hidden)'!$AB$34:$AB$732,0))="","",
                                    INDEX('[1]5. Assess Risks'!$H$6:$H$704,MATCH('[1]Lists and Calcs (Hidden)'!AJ40,'[1]Lists and Calcs (Hidden)'!$AB$34:$AB$732,0))
))</f>
        <v>Catastrophic</v>
      </c>
      <c r="R16" s="100" t="str">
        <f>IFERROR(IF('[1]2. Prepare'!$O$50="Quantitative",INDEX('[1]Lists and Calcs (Hidden)'!$M$12:$Q$16,MATCH('[1]6. Risk Register Integration'!P16,'[1]Lists and Calcs (Hidden)'!$K$12:$K$16,0),MATCH('[1]6. Risk Register Integration'!Q16,'[1]Lists and Calcs (Hidden)'!$M$10:$Q$10,0)),INDEX('[1]Lists and Calcs (Hidden)'!$Z$12:$AD$16,MATCH('[1]6. Risk Register Integration'!P16,'[1]Lists and Calcs (Hidden)'!$X$12:$X$16,0),MATCH('[1]6. Risk Register Integration'!Q16,'[1]Lists and Calcs (Hidden)'!$Z$10:$AD$10,0))),"")</f>
        <v>High</v>
      </c>
      <c r="S16" s="101" t="str">
        <f>IF('[1]Lists and Calcs (Hidden)'!AJ40="","",
                    IF(INDEX('[1]5. Assess Risks'!$J$6:$J$704,MATCH('[1]Lists and Calcs (Hidden)'!AJ40,'[1]Lists and Calcs (Hidden)'!$AB$34:$AB$732,0))="","",
                                    INDEX('[1]5. Assess Risks'!$J$6:$J$704,MATCH('[1]Lists and Calcs (Hidden)'!AJ40,'[1]Lists and Calcs (Hidden)'!$AB$34:$AB$732,0))
))</f>
        <v>Mitigate the Risk</v>
      </c>
      <c r="T16" s="102"/>
      <c r="U16" s="105"/>
      <c r="V16" s="106"/>
      <c r="W16" s="105"/>
      <c r="X16" s="105"/>
      <c r="Y16" s="98" t="str">
        <f>IF('[1]Lists and Calcs (Hidden)'!AJ40="","",
                    IF(INDEX('[1]5. Assess Risks'!$L$6:$L$704,MATCH('[1]Lists and Calcs (Hidden)'!AJ40,'[1]Lists and Calcs (Hidden)'!$AB$34:$AB$732,0))="","",
                                    INDEX('[1]5. Assess Risks'!$L$6:$L$704,MATCH('[1]Lists and Calcs (Hidden)'!AJ40,'[1]Lists and Calcs (Hidden)'!$AB$34:$AB$732,0))
))</f>
        <v>Source of residual risk: Zero-days, social engineering, supply chain compromise.
Potential additional controls: Hardened application configurations, MFA.</v>
      </c>
      <c r="Z16" s="95"/>
      <c r="AA16" s="96"/>
      <c r="AB16" s="85"/>
      <c r="AC16" s="86"/>
      <c r="AD16" s="87" t="str">
        <f>IFERROR(IF('[1]2. Prepare'!$O$50="Quantitative",INDEX('[1]Lists and Calcs (Hidden)'!$M$12:$Q$16,MATCH('[1]6. Risk Register Integration'!AB16,'[1]Lists and Calcs (Hidden)'!$K$12:$K$16,0),MATCH('[1]6. Risk Register Integration'!AC16,'[1]Lists and Calcs (Hidden)'!$M$10:$Q$10,0)),INDEX('[1]Lists and Calcs (Hidden)'!$Z$12:$AD$16,MATCH('[1]6. Risk Register Integration'!AB16,'[1]Lists and Calcs (Hidden)'!$X$12:$X$16,0),MATCH('[1]6. Risk Register Integration'!AC16,'[1]Lists and Calcs (Hidden)'!$Z$10:$AD$10,0))),"")</f>
        <v/>
      </c>
      <c r="AE16" s="54"/>
    </row>
    <row r="17" spans="2:33" ht="330" customHeight="1" x14ac:dyDescent="0.2">
      <c r="B17" s="97"/>
      <c r="C17" s="89" t="str">
        <f>IF('[1]Lists and Calcs (Hidden)'!AJ41="","",
                    IF(INDEX('[1]5. Assess Risks'!$B$6:$B$704,MATCH('[1]Lists and Calcs (Hidden)'!AJ41,'[1]Lists and Calcs (Hidden)'!$AB$34:$AB$732,0))="","",
                                    INDEX('[1]5. Assess Risks'!$B$6:$B$704,MATCH('[1]Lists and Calcs (Hidden)'!AJ41,'[1]Lists and Calcs (Hidden)'!$AB$34:$AB$732,0))
))</f>
        <v>TRA1.12 - ERP System - Attackers gain initial access to the server with low-level privileges, perhaps through a vulnerability in the server's remote management interface. Attackers then exploit a vulnerability in the server's firmware or hardware configuration to elevate their privileges to a higher level, such as root access. This escalated access would allow the attacker to perform more damaging actions on the server, such as installing persistent malware or stealing sensitive data.</v>
      </c>
      <c r="D17" s="90">
        <f>IF(C17="", "", '[1]2. Prepare'!$E$6)</f>
        <v>45033</v>
      </c>
      <c r="E17" s="91"/>
      <c r="F17" s="91" t="s">
        <v>40</v>
      </c>
      <c r="G17" s="91" t="s">
        <v>50</v>
      </c>
      <c r="H17" s="91" t="s">
        <v>42</v>
      </c>
      <c r="I17" s="89" t="str">
        <f>IF('[1]Lists and Calcs (Hidden)'!AJ41="","",
                    IF(INDEX('[1]5. Assess Risks'!$D$6:$D$704,MATCH('[1]Lists and Calcs (Hidden)'!AJ41,'[1]Lists and Calcs (Hidden)'!$AB$34:$AB$732,0))="","",
                                    INDEX('[1]5. Assess Risks'!$D$6:$D$704,MATCH('[1]Lists and Calcs (Hidden)'!AJ41,'[1]Lists and Calcs (Hidden)'!$AB$34:$AB$732,0))
))</f>
        <v>WAF, Email Filtering, Vulnerability Management Program, Application Safelisting, Security Awareness Training Program, Phishing Simulations, Firewall, Endpoint Detection and Response, Intrusion Detection and Protection, Data Loss Prevention.</v>
      </c>
      <c r="J17" s="91"/>
      <c r="K17" s="91"/>
      <c r="L17" s="91"/>
      <c r="M17" s="91"/>
      <c r="N17" s="91"/>
      <c r="O17" s="91"/>
      <c r="P17" s="92" t="str">
        <f>IF('[1]Lists and Calcs (Hidden)'!AJ41="","",
                    IF(INDEX('[1]5. Assess Risks'!$G$6:$G$704,MATCH('[1]Lists and Calcs (Hidden)'!AJ41,'[1]Lists and Calcs (Hidden)'!$AB$34:$AB$732,0))="","",
                                    INDEX('[1]5. Assess Risks'!$G$6:$G$704,MATCH('[1]Lists and Calcs (Hidden)'!AJ41,'[1]Lists and Calcs (Hidden)'!$AB$34:$AB$732,0))
))</f>
        <v>Possible</v>
      </c>
      <c r="Q17" s="92" t="str">
        <f>IF('[1]Lists and Calcs (Hidden)'!AJ41="","",
                    IF(INDEX('[1]5. Assess Risks'!$H$6:$H$704,MATCH('[1]Lists and Calcs (Hidden)'!AJ41,'[1]Lists and Calcs (Hidden)'!$AB$34:$AB$732,0))="","",
                                    INDEX('[1]5. Assess Risks'!$H$6:$H$704,MATCH('[1]Lists and Calcs (Hidden)'!AJ41,'[1]Lists and Calcs (Hidden)'!$AB$34:$AB$732,0))
))</f>
        <v>Minor</v>
      </c>
      <c r="R17" s="93" t="str">
        <f>IFERROR(IF('[1]2. Prepare'!$O$50="Quantitative",INDEX('[1]Lists and Calcs (Hidden)'!$M$12:$Q$16,MATCH('[1]6. Risk Register Integration'!P17,'[1]Lists and Calcs (Hidden)'!$K$12:$K$16,0),MATCH('[1]6. Risk Register Integration'!Q17,'[1]Lists and Calcs (Hidden)'!$M$10:$Q$10,0)),INDEX('[1]Lists and Calcs (Hidden)'!$Z$12:$AD$16,MATCH('[1]6. Risk Register Integration'!P17,'[1]Lists and Calcs (Hidden)'!$X$12:$X$16,0),MATCH('[1]6. Risk Register Integration'!Q17,'[1]Lists and Calcs (Hidden)'!$Z$10:$AD$10,0))),"")</f>
        <v>Medium</v>
      </c>
      <c r="S17" s="94" t="str">
        <f>IF('[1]Lists and Calcs (Hidden)'!AJ41="","",
                    IF(INDEX('[1]5. Assess Risks'!$J$6:$J$704,MATCH('[1]Lists and Calcs (Hidden)'!AJ41,'[1]Lists and Calcs (Hidden)'!$AB$34:$AB$732,0))="","",
                                    INDEX('[1]5. Assess Risks'!$J$6:$J$704,MATCH('[1]Lists and Calcs (Hidden)'!AJ41,'[1]Lists and Calcs (Hidden)'!$AB$34:$AB$732,0))
))</f>
        <v>No New Actions Needed</v>
      </c>
      <c r="T17" s="102"/>
      <c r="U17" s="105"/>
      <c r="V17" s="106"/>
      <c r="W17" s="105"/>
      <c r="X17" s="105"/>
      <c r="Y17" s="89" t="str">
        <f>IF('[1]Lists and Calcs (Hidden)'!AJ41="","",
                    IF(INDEX('[1]5. Assess Risks'!$L$6:$L$704,MATCH('[1]Lists and Calcs (Hidden)'!AJ41,'[1]Lists and Calcs (Hidden)'!$AB$34:$AB$732,0))="","",
                                    INDEX('[1]5. Assess Risks'!$L$6:$L$704,MATCH('[1]Lists and Calcs (Hidden)'!AJ41,'[1]Lists and Calcs (Hidden)'!$AB$34:$AB$732,0))
))</f>
        <v>Source of residual risk: Attacker evasion tactics (e.g. encryption, data compression, obfuscation), living off the land, and DLP limitations.
Potential additional controls: Egress filtering and monitoring, CASB, UBA, and file integrity monitoring.</v>
      </c>
      <c r="Z17" s="95"/>
      <c r="AA17" s="96"/>
      <c r="AB17" s="85"/>
      <c r="AC17" s="86"/>
      <c r="AD17" s="87" t="str">
        <f>IFERROR(IF('[1]2. Prepare'!$O$50="Quantitative",INDEX('[1]Lists and Calcs (Hidden)'!$M$12:$Q$16,MATCH('[1]6. Risk Register Integration'!AB17,'[1]Lists and Calcs (Hidden)'!$K$12:$K$16,0),MATCH('[1]6. Risk Register Integration'!AC17,'[1]Lists and Calcs (Hidden)'!$M$10:$Q$10,0)),INDEX('[1]Lists and Calcs (Hidden)'!$Z$12:$AD$16,MATCH('[1]6. Risk Register Integration'!AB17,'[1]Lists and Calcs (Hidden)'!$X$12:$X$16,0),MATCH('[1]6. Risk Register Integration'!AC17,'[1]Lists and Calcs (Hidden)'!$Z$10:$AD$10,0))),"")</f>
        <v/>
      </c>
      <c r="AE17" s="54"/>
    </row>
    <row r="18" spans="2:33" ht="330" customHeight="1" x14ac:dyDescent="0.2">
      <c r="B18" s="97"/>
      <c r="C18" s="98" t="str">
        <f>IF('[1]Lists and Calcs (Hidden)'!AJ42="","",
                    IF(INDEX('[1]5. Assess Risks'!$B$6:$B$704,MATCH('[1]Lists and Calcs (Hidden)'!AJ42,'[1]Lists and Calcs (Hidden)'!$AB$34:$AB$732,0))="","",
                                    INDEX('[1]5. Assess Risks'!$B$6:$B$704,MATCH('[1]Lists and Calcs (Hidden)'!AJ42,'[1]Lists and Calcs (Hidden)'!$AB$34:$AB$732,0))
))</f>
        <v>TRA1.13 - ERP System - After gaining access, attackers disable security software, alter log files to hide their activity, or use encryption and obfuscation to make their malware less detectable. For example, they modify the server's firewall settings to allow malicious traffic to pass undetected, or they use rootkits to intercept and manipulate system calls to hide the presence of their processes and files. Additionally, they employ polymorphic code to change the signature of their malware automatically to evade signature-based detection tools.</v>
      </c>
      <c r="D18" s="90">
        <f>IF(C18="", "", '[1]2. Prepare'!$E$6)</f>
        <v>45033</v>
      </c>
      <c r="E18" s="91"/>
      <c r="F18" s="91" t="s">
        <v>40</v>
      </c>
      <c r="G18" s="91" t="s">
        <v>41</v>
      </c>
      <c r="H18" s="91" t="s">
        <v>42</v>
      </c>
      <c r="I18" s="98" t="str">
        <f>IF('[1]Lists and Calcs (Hidden)'!AJ42="","",
                    IF(INDEX('[1]5. Assess Risks'!$D$6:$D$704,MATCH('[1]Lists and Calcs (Hidden)'!AJ42,'[1]Lists and Calcs (Hidden)'!$AB$34:$AB$732,0))="","",
                                    INDEX('[1]5. Assess Risks'!$D$6:$D$704,MATCH('[1]Lists and Calcs (Hidden)'!AJ42,'[1]Lists and Calcs (Hidden)'!$AB$34:$AB$732,0))
))</f>
        <v>WAF, Email Filtering, Vulnerability Management Program, Application Safelisting, Security Awareness Training Program, Phishing Simulations, Firewall, Endpoint Detection and Response, Intrusion Detection and Protection, Data Loss Prevention.</v>
      </c>
      <c r="J18" s="91"/>
      <c r="K18" s="91"/>
      <c r="L18" s="91"/>
      <c r="M18" s="91"/>
      <c r="N18" s="91"/>
      <c r="O18" s="91"/>
      <c r="P18" s="99" t="str">
        <f>IF('[1]Lists and Calcs (Hidden)'!AJ42="","",
                    IF(INDEX('[1]5. Assess Risks'!$G$6:$G$704,MATCH('[1]Lists and Calcs (Hidden)'!AJ42,'[1]Lists and Calcs (Hidden)'!$AB$34:$AB$732,0))="","",
                                    INDEX('[1]5. Assess Risks'!$G$6:$G$704,MATCH('[1]Lists and Calcs (Hidden)'!AJ42,'[1]Lists and Calcs (Hidden)'!$AB$34:$AB$732,0))
))</f>
        <v>Possible</v>
      </c>
      <c r="Q18" s="99" t="str">
        <f>IF('[1]Lists and Calcs (Hidden)'!AJ42="","",
                    IF(INDEX('[1]5. Assess Risks'!$H$6:$H$704,MATCH('[1]Lists and Calcs (Hidden)'!AJ42,'[1]Lists and Calcs (Hidden)'!$AB$34:$AB$732,0))="","",
                                    INDEX('[1]5. Assess Risks'!$H$6:$H$704,MATCH('[1]Lists and Calcs (Hidden)'!AJ42,'[1]Lists and Calcs (Hidden)'!$AB$34:$AB$732,0))
))</f>
        <v>Catastrophic</v>
      </c>
      <c r="R18" s="100" t="str">
        <f>IFERROR(IF('[1]2. Prepare'!$O$50="Quantitative",INDEX('[1]Lists and Calcs (Hidden)'!$M$12:$Q$16,MATCH('[1]6. Risk Register Integration'!P18,'[1]Lists and Calcs (Hidden)'!$K$12:$K$16,0),MATCH('[1]6. Risk Register Integration'!Q18,'[1]Lists and Calcs (Hidden)'!$M$10:$Q$10,0)),INDEX('[1]Lists and Calcs (Hidden)'!$Z$12:$AD$16,MATCH('[1]6. Risk Register Integration'!P18,'[1]Lists and Calcs (Hidden)'!$X$12:$X$16,0),MATCH('[1]6. Risk Register Integration'!Q18,'[1]Lists and Calcs (Hidden)'!$Z$10:$AD$10,0))),"")</f>
        <v>High</v>
      </c>
      <c r="S18" s="101" t="str">
        <f>IF('[1]Lists and Calcs (Hidden)'!AJ42="","",
                    IF(INDEX('[1]5. Assess Risks'!$J$6:$J$704,MATCH('[1]Lists and Calcs (Hidden)'!AJ42,'[1]Lists and Calcs (Hidden)'!$AB$34:$AB$732,0))="","",
                                    INDEX('[1]5. Assess Risks'!$J$6:$J$704,MATCH('[1]Lists and Calcs (Hidden)'!AJ42,'[1]Lists and Calcs (Hidden)'!$AB$34:$AB$732,0))
))</f>
        <v>Mitigate the Risk</v>
      </c>
      <c r="T18" s="102"/>
      <c r="U18" s="105"/>
      <c r="V18" s="106"/>
      <c r="W18" s="105"/>
      <c r="X18" s="105"/>
      <c r="Y18" s="98" t="str">
        <f>IF('[1]Lists and Calcs (Hidden)'!AJ42="","",
                    IF(INDEX('[1]5. Assess Risks'!$L$6:$L$704,MATCH('[1]Lists and Calcs (Hidden)'!AJ42,'[1]Lists and Calcs (Hidden)'!$AB$34:$AB$732,0))="","",
                                    INDEX('[1]5. Assess Risks'!$L$6:$L$704,MATCH('[1]Lists and Calcs (Hidden)'!AJ42,'[1]Lists and Calcs (Hidden)'!$AB$34:$AB$732,0))
))</f>
        <v>Source of residual risk: Ransomware, skilled attackers.
Potential additional controls: Immutable backups, privilege restrictions, MFA.</v>
      </c>
      <c r="Z18" s="95"/>
      <c r="AA18" s="96"/>
      <c r="AB18" s="85"/>
      <c r="AC18" s="86"/>
      <c r="AD18" s="87" t="str">
        <f>IFERROR(IF('[1]2. Prepare'!$O$50="Quantitative",INDEX('[1]Lists and Calcs (Hidden)'!$M$12:$Q$16,MATCH('[1]6. Risk Register Integration'!AB18,'[1]Lists and Calcs (Hidden)'!$K$12:$K$16,0),MATCH('[1]6. Risk Register Integration'!AC18,'[1]Lists and Calcs (Hidden)'!$M$10:$Q$10,0)),INDEX('[1]Lists and Calcs (Hidden)'!$Z$12:$AD$16,MATCH('[1]6. Risk Register Integration'!AB18,'[1]Lists and Calcs (Hidden)'!$X$12:$X$16,0),MATCH('[1]6. Risk Register Integration'!AC18,'[1]Lists and Calcs (Hidden)'!$Z$10:$AD$10,0))),"")</f>
        <v/>
      </c>
      <c r="AE18" s="54"/>
    </row>
    <row r="19" spans="2:33" ht="330" customHeight="1" x14ac:dyDescent="0.2">
      <c r="B19" s="88"/>
      <c r="C19" s="89" t="str">
        <f>IF('[1]Lists and Calcs (Hidden)'!AJ43="","",
                    IF(INDEX('[1]5. Assess Risks'!$B$6:$B$704,MATCH('[1]Lists and Calcs (Hidden)'!AJ43,'[1]Lists and Calcs (Hidden)'!$AB$34:$AB$732,0))="","",
                                    INDEX('[1]5. Assess Risks'!$B$6:$B$704,MATCH('[1]Lists and Calcs (Hidden)'!AJ43,'[1]Lists and Calcs (Hidden)'!$AB$34:$AB$732,0))
))</f>
        <v>TRA1.14 - ERP System - An attacker with physical access to a server steals cached credentials stored directly on the server's hardware. This could involve stealing credentials from a hardware security module (HSM) or extracting them from the server's memory after it's been shut down but before the volatile memory clears. These stolen credentials could then be used to access other systems on the network or gain unauthorized access to sensitive data stored on the server itself.</v>
      </c>
      <c r="D19" s="90">
        <f>IF(C19="", "", '[1]2. Prepare'!$E$6)</f>
        <v>45033</v>
      </c>
      <c r="E19" s="91"/>
      <c r="F19" s="91" t="s">
        <v>40</v>
      </c>
      <c r="G19" s="91" t="s">
        <v>45</v>
      </c>
      <c r="H19" s="91" t="s">
        <v>42</v>
      </c>
      <c r="I19" s="89" t="str">
        <f>IF('[1]Lists and Calcs (Hidden)'!AJ43="","",
                    IF(INDEX('[1]5. Assess Risks'!$D$6:$D$704,MATCH('[1]Lists and Calcs (Hidden)'!AJ43,'[1]Lists and Calcs (Hidden)'!$AB$34:$AB$732,0))="","",
                                    INDEX('[1]5. Assess Risks'!$D$6:$D$704,MATCH('[1]Lists and Calcs (Hidden)'!AJ43,'[1]Lists and Calcs (Hidden)'!$AB$34:$AB$732,0))
))</f>
        <v>WAF, Email Filtering, Vulnerability Management Program, Application Safelisting, Security Awareness Training Program, Phishing Simulations, Firewall, Endpoint Detection and Response, Intrusion Detection and Protection, Data Loss Prevention.</v>
      </c>
      <c r="J19" s="91"/>
      <c r="K19" s="91"/>
      <c r="L19" s="91"/>
      <c r="M19" s="91"/>
      <c r="N19" s="91"/>
      <c r="O19" s="91"/>
      <c r="P19" s="92" t="str">
        <f>IF('[1]Lists and Calcs (Hidden)'!AJ43="","",
                    IF(INDEX('[1]5. Assess Risks'!$G$6:$G$704,MATCH('[1]Lists and Calcs (Hidden)'!AJ43,'[1]Lists and Calcs (Hidden)'!$AB$34:$AB$732,0))="","",
                                    INDEX('[1]5. Assess Risks'!$G$6:$G$704,MATCH('[1]Lists and Calcs (Hidden)'!AJ43,'[1]Lists and Calcs (Hidden)'!$AB$34:$AB$732,0))
))</f>
        <v>Possible</v>
      </c>
      <c r="Q19" s="92" t="str">
        <f>IF('[1]Lists and Calcs (Hidden)'!AJ43="","",
                    IF(INDEX('[1]5. Assess Risks'!$H$6:$H$704,MATCH('[1]Lists and Calcs (Hidden)'!AJ43,'[1]Lists and Calcs (Hidden)'!$AB$34:$AB$732,0))="","",
                                    INDEX('[1]5. Assess Risks'!$H$6:$H$704,MATCH('[1]Lists and Calcs (Hidden)'!AJ43,'[1]Lists and Calcs (Hidden)'!$AB$34:$AB$732,0))
))</f>
        <v>Major</v>
      </c>
      <c r="R19" s="93" t="str">
        <f>IFERROR(IF('[1]2. Prepare'!$O$50="Quantitative",INDEX('[1]Lists and Calcs (Hidden)'!$M$12:$Q$16,MATCH('[1]6. Risk Register Integration'!P19,'[1]Lists and Calcs (Hidden)'!$K$12:$K$16,0),MATCH('[1]6. Risk Register Integration'!Q19,'[1]Lists and Calcs (Hidden)'!$M$10:$Q$10,0)),INDEX('[1]Lists and Calcs (Hidden)'!$Z$12:$AD$16,MATCH('[1]6. Risk Register Integration'!P19,'[1]Lists and Calcs (Hidden)'!$X$12:$X$16,0),MATCH('[1]6. Risk Register Integration'!Q19,'[1]Lists and Calcs (Hidden)'!$Z$10:$AD$10,0))),"")</f>
        <v>Medium</v>
      </c>
      <c r="S19" s="94" t="str">
        <f>IF('[1]Lists and Calcs (Hidden)'!AJ43="","",
                    IF(INDEX('[1]5. Assess Risks'!$J$6:$J$704,MATCH('[1]Lists and Calcs (Hidden)'!AJ43,'[1]Lists and Calcs (Hidden)'!$AB$34:$AB$732,0))="","",
                                    INDEX('[1]5. Assess Risks'!$J$6:$J$704,MATCH('[1]Lists and Calcs (Hidden)'!AJ43,'[1]Lists and Calcs (Hidden)'!$AB$34:$AB$732,0))
))</f>
        <v>Formally Accept the Risk</v>
      </c>
      <c r="T19" s="102"/>
      <c r="U19" s="105"/>
      <c r="V19" s="106"/>
      <c r="W19" s="105"/>
      <c r="X19" s="105"/>
      <c r="Y19" s="89" t="str">
        <f>IF('[1]Lists and Calcs (Hidden)'!AJ43="","",
                    IF(INDEX('[1]5. Assess Risks'!$L$6:$L$704,MATCH('[1]Lists and Calcs (Hidden)'!AJ43,'[1]Lists and Calcs (Hidden)'!$AB$34:$AB$732,0))="","",
                                    INDEX('[1]5. Assess Risks'!$L$6:$L$704,MATCH('[1]Lists and Calcs (Hidden)'!AJ43,'[1]Lists and Calcs (Hidden)'!$AB$34:$AB$732,0))
))</f>
        <v>Source of residual risks: Zero-days, skilled adversaries (e.g. APTs), supply chain attacks, physical access, misconfigurations. 
Gap: Monitoring focused on endpoints and web traffic, lack of monitoring solution on server devices.
Potential additional control: Network segmentation.</v>
      </c>
      <c r="Z19" s="95"/>
      <c r="AA19" s="96"/>
      <c r="AB19" s="85"/>
      <c r="AC19" s="86"/>
      <c r="AD19" s="87" t="str">
        <f>IFERROR(IF('[1]2. Prepare'!$O$50="Quantitative",INDEX('[1]Lists and Calcs (Hidden)'!$M$12:$Q$16,MATCH('[1]6. Risk Register Integration'!AB19,'[1]Lists and Calcs (Hidden)'!$K$12:$K$16,0),MATCH('[1]6. Risk Register Integration'!AC19,'[1]Lists and Calcs (Hidden)'!$M$10:$Q$10,0)),INDEX('[1]Lists and Calcs (Hidden)'!$Z$12:$AD$16,MATCH('[1]6. Risk Register Integration'!AB19,'[1]Lists and Calcs (Hidden)'!$X$12:$X$16,0),MATCH('[1]6. Risk Register Integration'!AC19,'[1]Lists and Calcs (Hidden)'!$Z$10:$AD$10,0))),"")</f>
        <v/>
      </c>
      <c r="AE19" s="54"/>
    </row>
    <row r="20" spans="2:33" ht="330" customHeight="1" x14ac:dyDescent="0.2">
      <c r="B20" s="97"/>
      <c r="C20" s="98" t="str">
        <f>IF('[1]Lists and Calcs (Hidden)'!AJ44="","",
                    IF(INDEX('[1]5. Assess Risks'!$B$6:$B$704,MATCH('[1]Lists and Calcs (Hidden)'!AJ44,'[1]Lists and Calcs (Hidden)'!$AB$34:$AB$732,0))="","",
                                    INDEX('[1]5. Assess Risks'!$B$6:$B$704,MATCH('[1]Lists and Calcs (Hidden)'!AJ44,'[1]Lists and Calcs (Hidden)'!$AB$34:$AB$732,0))
))</f>
        <v>TRA1.15 - ERP System - Attackers with physical access to the server extract data directly from its hardware. This could involve stealing data from storage devices by bypassing logical security controls or using specialized hardware tools to capture raw data from the storage media. This scenario is distinct from attackers collecting data through software means (e.g. copying files, compromising databases). Here, the focus is on bypassing software security altogether and leveraging physical access to the server hardware to acquire data.</v>
      </c>
      <c r="D20" s="90">
        <f>IF(C20="", "", '[1]2. Prepare'!$E$6)</f>
        <v>45033</v>
      </c>
      <c r="E20" s="91"/>
      <c r="F20" s="91" t="s">
        <v>40</v>
      </c>
      <c r="G20" s="91" t="s">
        <v>47</v>
      </c>
      <c r="H20" s="91" t="s">
        <v>42</v>
      </c>
      <c r="I20" s="98" t="str">
        <f>IF('[1]Lists and Calcs (Hidden)'!AJ44="","",
                    IF(INDEX('[1]5. Assess Risks'!$D$6:$D$704,MATCH('[1]Lists and Calcs (Hidden)'!AJ44,'[1]Lists and Calcs (Hidden)'!$AB$34:$AB$732,0))="","",
                                    INDEX('[1]5. Assess Risks'!$D$6:$D$704,MATCH('[1]Lists and Calcs (Hidden)'!AJ44,'[1]Lists and Calcs (Hidden)'!$AB$34:$AB$732,0))
))</f>
        <v>WAF, Email Filtering, Vulnerability Management Program, Application Safelisting, Security Awareness Training Program, Phishing Simulations, Firewall, Endpoint Detection and Response, Intrusion Detection and Protection, Data Loss Prevention.</v>
      </c>
      <c r="J20" s="91"/>
      <c r="K20" s="91"/>
      <c r="L20" s="91"/>
      <c r="M20" s="91"/>
      <c r="N20" s="91"/>
      <c r="O20" s="91"/>
      <c r="P20" s="99" t="str">
        <f>IF('[1]Lists and Calcs (Hidden)'!AJ44="","",
                    IF(INDEX('[1]5. Assess Risks'!$G$6:$G$704,MATCH('[1]Lists and Calcs (Hidden)'!AJ44,'[1]Lists and Calcs (Hidden)'!$AB$34:$AB$732,0))="","",
                                    INDEX('[1]5. Assess Risks'!$G$6:$G$704,MATCH('[1]Lists and Calcs (Hidden)'!AJ44,'[1]Lists and Calcs (Hidden)'!$AB$34:$AB$732,0))
))</f>
        <v>Possible</v>
      </c>
      <c r="Q20" s="99" t="str">
        <f>IF('[1]Lists and Calcs (Hidden)'!AJ44="","",
                    IF(INDEX('[1]5. Assess Risks'!$H$6:$H$704,MATCH('[1]Lists and Calcs (Hidden)'!AJ44,'[1]Lists and Calcs (Hidden)'!$AB$34:$AB$732,0))="","",
                                    INDEX('[1]5. Assess Risks'!$H$6:$H$704,MATCH('[1]Lists and Calcs (Hidden)'!AJ44,'[1]Lists and Calcs (Hidden)'!$AB$34:$AB$732,0))
))</f>
        <v>Catastrophic</v>
      </c>
      <c r="R20" s="100" t="str">
        <f>IFERROR(IF('[1]2. Prepare'!$O$50="Quantitative",INDEX('[1]Lists and Calcs (Hidden)'!$M$12:$Q$16,MATCH('[1]6. Risk Register Integration'!P20,'[1]Lists and Calcs (Hidden)'!$K$12:$K$16,0),MATCH('[1]6. Risk Register Integration'!Q20,'[1]Lists and Calcs (Hidden)'!$M$10:$Q$10,0)),INDEX('[1]Lists and Calcs (Hidden)'!$Z$12:$AD$16,MATCH('[1]6. Risk Register Integration'!P20,'[1]Lists and Calcs (Hidden)'!$X$12:$X$16,0),MATCH('[1]6. Risk Register Integration'!Q20,'[1]Lists and Calcs (Hidden)'!$Z$10:$AD$10,0))),"")</f>
        <v>High</v>
      </c>
      <c r="S20" s="101" t="str">
        <f>IF('[1]Lists and Calcs (Hidden)'!AJ44="","",
                    IF(INDEX('[1]5. Assess Risks'!$J$6:$J$704,MATCH('[1]Lists and Calcs (Hidden)'!AJ44,'[1]Lists and Calcs (Hidden)'!$AB$34:$AB$732,0))="","",
                                    INDEX('[1]5. Assess Risks'!$J$6:$J$704,MATCH('[1]Lists and Calcs (Hidden)'!AJ44,'[1]Lists and Calcs (Hidden)'!$AB$34:$AB$732,0))
))</f>
        <v>Mitigate the Risk</v>
      </c>
      <c r="T20" s="102"/>
      <c r="U20" s="105"/>
      <c r="V20" s="106"/>
      <c r="W20" s="105"/>
      <c r="X20" s="105"/>
      <c r="Y20" s="98" t="str">
        <f>IF('[1]Lists and Calcs (Hidden)'!AJ44="","",
                    IF(INDEX('[1]5. Assess Risks'!$L$6:$L$704,MATCH('[1]Lists and Calcs (Hidden)'!AJ44,'[1]Lists and Calcs (Hidden)'!$AB$34:$AB$732,0))="","",
                                    INDEX('[1]5. Assess Risks'!$L$6:$L$704,MATCH('[1]Lists and Calcs (Hidden)'!AJ44,'[1]Lists and Calcs (Hidden)'!$AB$34:$AB$732,0))
))</f>
        <v>Source of residual risks: Zero-days, skilled adversaries (e.g. APTs), supply chain attacks, physical access, misconfigurations, living off the land.
Gap: Monitoring focused on endpoints and web traffic, lack of monitoring solution on server devices.
Potential additional control: Network segmentation.</v>
      </c>
      <c r="Z20" s="95"/>
      <c r="AA20" s="96"/>
      <c r="AB20" s="85"/>
      <c r="AC20" s="86"/>
      <c r="AD20" s="87" t="str">
        <f>IFERROR(IF('[1]2. Prepare'!$O$50="Quantitative",INDEX('[1]Lists and Calcs (Hidden)'!$M$12:$Q$16,MATCH('[1]6. Risk Register Integration'!AB20,'[1]Lists and Calcs (Hidden)'!$K$12:$K$16,0),MATCH('[1]6. Risk Register Integration'!AC20,'[1]Lists and Calcs (Hidden)'!$M$10:$Q$10,0)),INDEX('[1]Lists and Calcs (Hidden)'!$Z$12:$AD$16,MATCH('[1]6. Risk Register Integration'!AB20,'[1]Lists and Calcs (Hidden)'!$X$12:$X$16,0),MATCH('[1]6. Risk Register Integration'!AC20,'[1]Lists and Calcs (Hidden)'!$Z$10:$AD$10,0))),"")</f>
        <v/>
      </c>
      <c r="AE20" s="54"/>
    </row>
    <row r="21" spans="2:33" ht="330" customHeight="1" x14ac:dyDescent="0.2">
      <c r="B21" s="97"/>
      <c r="C21" s="89" t="str">
        <f>IF('[1]Lists and Calcs (Hidden)'!AJ45="","",
                    IF(INDEX('[1]5. Assess Risks'!$B$6:$B$704,MATCH('[1]Lists and Calcs (Hidden)'!AJ45,'[1]Lists and Calcs (Hidden)'!$AB$34:$AB$732,0))="","",
                                    INDEX('[1]5. Assess Risks'!$B$6:$B$704,MATCH('[1]Lists and Calcs (Hidden)'!AJ45,'[1]Lists and Calcs (Hidden)'!$AB$34:$AB$732,0))
))</f>
        <v>TRA1.17 - ERP System - An attacker could exploit a vulnerability in a SAN's firmware to gather information about connected devices, data types stored, and security configurations. This reconnaissance aids in targeting specific systems and planning later attacks.</v>
      </c>
      <c r="D21" s="90">
        <f>IF(C21="", "", '[1]2. Prepare'!$E$6)</f>
        <v>45033</v>
      </c>
      <c r="E21" s="91"/>
      <c r="F21" s="91" t="s">
        <v>40</v>
      </c>
      <c r="G21" s="91" t="s">
        <v>50</v>
      </c>
      <c r="H21" s="91" t="s">
        <v>42</v>
      </c>
      <c r="I21" s="89" t="str">
        <f>IF('[1]Lists and Calcs (Hidden)'!AJ45="","",
                    IF(INDEX('[1]5. Assess Risks'!$D$6:$D$704,MATCH('[1]Lists and Calcs (Hidden)'!AJ45,'[1]Lists and Calcs (Hidden)'!$AB$34:$AB$732,0))="","",
                                    INDEX('[1]5. Assess Risks'!$D$6:$D$704,MATCH('[1]Lists and Calcs (Hidden)'!AJ45,'[1]Lists and Calcs (Hidden)'!$AB$34:$AB$732,0))
))</f>
        <v>WAF, Email Filtering, Vulnerability Management Program, Application Safelisting, Security Awareness Training Program, Phishing Simulations, Firewall, Endpoint Detection and Response, Intrusion Detection and Protection, Data Loss Prevention.</v>
      </c>
      <c r="J21" s="91"/>
      <c r="K21" s="91"/>
      <c r="L21" s="91"/>
      <c r="M21" s="91"/>
      <c r="N21" s="91"/>
      <c r="O21" s="91"/>
      <c r="P21" s="92" t="str">
        <f>IF('[1]Lists and Calcs (Hidden)'!AJ45="","",
                    IF(INDEX('[1]5. Assess Risks'!$G$6:$G$704,MATCH('[1]Lists and Calcs (Hidden)'!AJ45,'[1]Lists and Calcs (Hidden)'!$AB$34:$AB$732,0))="","",
                                    INDEX('[1]5. Assess Risks'!$G$6:$G$704,MATCH('[1]Lists and Calcs (Hidden)'!AJ45,'[1]Lists and Calcs (Hidden)'!$AB$34:$AB$732,0))
))</f>
        <v>Possible</v>
      </c>
      <c r="Q21" s="92" t="str">
        <f>IF('[1]Lists and Calcs (Hidden)'!AJ45="","",
                    IF(INDEX('[1]5. Assess Risks'!$H$6:$H$704,MATCH('[1]Lists and Calcs (Hidden)'!AJ45,'[1]Lists and Calcs (Hidden)'!$AB$34:$AB$732,0))="","",
                                    INDEX('[1]5. Assess Risks'!$H$6:$H$704,MATCH('[1]Lists and Calcs (Hidden)'!AJ45,'[1]Lists and Calcs (Hidden)'!$AB$34:$AB$732,0))
))</f>
        <v>Minor</v>
      </c>
      <c r="R21" s="93" t="str">
        <f>IFERROR(IF('[1]2. Prepare'!$O$50="Quantitative",INDEX('[1]Lists and Calcs (Hidden)'!$M$12:$Q$16,MATCH('[1]6. Risk Register Integration'!P21,'[1]Lists and Calcs (Hidden)'!$K$12:$K$16,0),MATCH('[1]6. Risk Register Integration'!Q21,'[1]Lists and Calcs (Hidden)'!$M$10:$Q$10,0)),INDEX('[1]Lists and Calcs (Hidden)'!$Z$12:$AD$16,MATCH('[1]6. Risk Register Integration'!P21,'[1]Lists and Calcs (Hidden)'!$X$12:$X$16,0),MATCH('[1]6. Risk Register Integration'!Q21,'[1]Lists and Calcs (Hidden)'!$Z$10:$AD$10,0))),"")</f>
        <v>Medium</v>
      </c>
      <c r="S21" s="94" t="str">
        <f>IF('[1]Lists and Calcs (Hidden)'!AJ45="","",
                    IF(INDEX('[1]5. Assess Risks'!$J$6:$J$704,MATCH('[1]Lists and Calcs (Hidden)'!AJ45,'[1]Lists and Calcs (Hidden)'!$AB$34:$AB$732,0))="","",
                                    INDEX('[1]5. Assess Risks'!$J$6:$J$704,MATCH('[1]Lists and Calcs (Hidden)'!AJ45,'[1]Lists and Calcs (Hidden)'!$AB$34:$AB$732,0))
))</f>
        <v>No New Actions Needed</v>
      </c>
      <c r="T21" s="102"/>
      <c r="U21" s="105"/>
      <c r="V21" s="106"/>
      <c r="W21" s="105"/>
      <c r="X21" s="105"/>
      <c r="Y21" s="89" t="str">
        <f>IF('[1]Lists and Calcs (Hidden)'!AJ45="","",
                    IF(INDEX('[1]5. Assess Risks'!$L$6:$L$704,MATCH('[1]Lists and Calcs (Hidden)'!AJ45,'[1]Lists and Calcs (Hidden)'!$AB$34:$AB$732,0))="","",
                                    INDEX('[1]5. Assess Risks'!$L$6:$L$704,MATCH('[1]Lists and Calcs (Hidden)'!AJ45,'[1]Lists and Calcs (Hidden)'!$AB$34:$AB$732,0))
))</f>
        <v>Source of residual risks: Zero-days, lateral movement, supply chain attacks, physical access.
Gap: Monitoring focused on endpoints and web traffic, lack of monitoring solution on server devices.
Potential additional control: Network segmentation.</v>
      </c>
      <c r="Z21" s="95"/>
      <c r="AA21" s="96"/>
      <c r="AB21" s="85"/>
      <c r="AC21" s="86"/>
      <c r="AD21" s="87" t="str">
        <f>IFERROR(IF('[1]2. Prepare'!$O$50="Quantitative",INDEX('[1]Lists and Calcs (Hidden)'!$M$12:$Q$16,MATCH('[1]6. Risk Register Integration'!AB21,'[1]Lists and Calcs (Hidden)'!$K$12:$K$16,0),MATCH('[1]6. Risk Register Integration'!AC21,'[1]Lists and Calcs (Hidden)'!$M$10:$Q$10,0)),INDEX('[1]Lists and Calcs (Hidden)'!$Z$12:$AD$16,MATCH('[1]6. Risk Register Integration'!AB21,'[1]Lists and Calcs (Hidden)'!$X$12:$X$16,0),MATCH('[1]6. Risk Register Integration'!AC21,'[1]Lists and Calcs (Hidden)'!$Z$10:$AD$10,0))),"")</f>
        <v/>
      </c>
      <c r="AE21" s="54"/>
    </row>
    <row r="22" spans="2:33" ht="330" customHeight="1" x14ac:dyDescent="0.2">
      <c r="B22" s="97"/>
      <c r="C22" s="98" t="str">
        <f>IF('[1]Lists and Calcs (Hidden)'!AJ46="","",
                    IF(INDEX('[1]5. Assess Risks'!$B$6:$B$704,MATCH('[1]Lists and Calcs (Hidden)'!AJ46,'[1]Lists and Calcs (Hidden)'!$AB$34:$AB$732,0))="","",
                                    INDEX('[1]5. Assess Risks'!$B$6:$B$704,MATCH('[1]Lists and Calcs (Hidden)'!AJ46,'[1]Lists and Calcs (Hidden)'!$AB$34:$AB$732,0))
))</f>
        <v>TRA1.18 - ERP System - An attacker with physical access to a SAN device steals credentials stored on the device itself. These credentials could be for administrative access to the SAN or credentials for other systems that are stored on the SAN for authentication purposes (e.g. iSCSI targets). Stealing these credentials could allow the attacker to tamper with the SAN configuration, disrupt data access for authorized users, or potentially use the stolen credentials to pivot to other systems on the network.</v>
      </c>
      <c r="D22" s="90">
        <f>IF(C22="", "", '[1]2. Prepare'!$E$6)</f>
        <v>45033</v>
      </c>
      <c r="E22" s="91"/>
      <c r="F22" s="91" t="s">
        <v>40</v>
      </c>
      <c r="G22" s="91" t="s">
        <v>41</v>
      </c>
      <c r="H22" s="91" t="s">
        <v>42</v>
      </c>
      <c r="I22" s="98" t="str">
        <f>IF('[1]Lists and Calcs (Hidden)'!AJ46="","",
                    IF(INDEX('[1]5. Assess Risks'!$D$6:$D$704,MATCH('[1]Lists and Calcs (Hidden)'!AJ46,'[1]Lists and Calcs (Hidden)'!$AB$34:$AB$732,0))="","",
                                    INDEX('[1]5. Assess Risks'!$D$6:$D$704,MATCH('[1]Lists and Calcs (Hidden)'!AJ46,'[1]Lists and Calcs (Hidden)'!$AB$34:$AB$732,0))
))</f>
        <v>WAF, Email Filtering, Vulnerability Management Program, Application Safelisting, Security Awareness Training Program, Phishing Simulations, Firewall, Endpoint Detection and Response, Intrusion Detection and Protection, Data Loss Prevention.</v>
      </c>
      <c r="J22" s="91"/>
      <c r="K22" s="91"/>
      <c r="L22" s="91"/>
      <c r="M22" s="91"/>
      <c r="N22" s="91"/>
      <c r="O22" s="91"/>
      <c r="P22" s="99" t="str">
        <f>IF('[1]Lists and Calcs (Hidden)'!AJ46="","",
                    IF(INDEX('[1]5. Assess Risks'!$G$6:$G$704,MATCH('[1]Lists and Calcs (Hidden)'!AJ46,'[1]Lists and Calcs (Hidden)'!$AB$34:$AB$732,0))="","",
                                    INDEX('[1]5. Assess Risks'!$G$6:$G$704,MATCH('[1]Lists and Calcs (Hidden)'!AJ46,'[1]Lists and Calcs (Hidden)'!$AB$34:$AB$732,0))
))</f>
        <v>Possible</v>
      </c>
      <c r="Q22" s="99" t="str">
        <f>IF('[1]Lists and Calcs (Hidden)'!AJ46="","",
                    IF(INDEX('[1]5. Assess Risks'!$H$6:$H$704,MATCH('[1]Lists and Calcs (Hidden)'!AJ46,'[1]Lists and Calcs (Hidden)'!$AB$34:$AB$732,0))="","",
                                    INDEX('[1]5. Assess Risks'!$H$6:$H$704,MATCH('[1]Lists and Calcs (Hidden)'!AJ46,'[1]Lists and Calcs (Hidden)'!$AB$34:$AB$732,0))
))</f>
        <v>Moderate</v>
      </c>
      <c r="R22" s="100" t="str">
        <f>IFERROR(IF('[1]2. Prepare'!$O$50="Quantitative",INDEX('[1]Lists and Calcs (Hidden)'!$M$12:$Q$16,MATCH('[1]6. Risk Register Integration'!P22,'[1]Lists and Calcs (Hidden)'!$K$12:$K$16,0),MATCH('[1]6. Risk Register Integration'!Q22,'[1]Lists and Calcs (Hidden)'!$M$10:$Q$10,0)),INDEX('[1]Lists and Calcs (Hidden)'!$Z$12:$AD$16,MATCH('[1]6. Risk Register Integration'!P22,'[1]Lists and Calcs (Hidden)'!$X$12:$X$16,0),MATCH('[1]6. Risk Register Integration'!Q22,'[1]Lists and Calcs (Hidden)'!$Z$10:$AD$10,0))),"")</f>
        <v>Medium</v>
      </c>
      <c r="S22" s="101" t="str">
        <f>IF('[1]Lists and Calcs (Hidden)'!AJ46="","",
                    IF(INDEX('[1]5. Assess Risks'!$J$6:$J$704,MATCH('[1]Lists and Calcs (Hidden)'!AJ46,'[1]Lists and Calcs (Hidden)'!$AB$34:$AB$732,0))="","",
                                    INDEX('[1]5. Assess Risks'!$J$6:$J$704,MATCH('[1]Lists and Calcs (Hidden)'!AJ46,'[1]Lists and Calcs (Hidden)'!$AB$34:$AB$732,0))
))</f>
        <v>No New Actions Needed</v>
      </c>
      <c r="T22" s="102"/>
      <c r="U22" s="105"/>
      <c r="V22" s="106"/>
      <c r="W22" s="105"/>
      <c r="X22" s="105"/>
      <c r="Y22" s="98" t="str">
        <f>IF('[1]Lists and Calcs (Hidden)'!AJ46="","",
                    IF(INDEX('[1]5. Assess Risks'!$L$6:$L$704,MATCH('[1]Lists and Calcs (Hidden)'!AJ46,'[1]Lists and Calcs (Hidden)'!$AB$34:$AB$732,0))="","",
                                    INDEX('[1]5. Assess Risks'!$L$6:$L$704,MATCH('[1]Lists and Calcs (Hidden)'!AJ46,'[1]Lists and Calcs (Hidden)'!$AB$34:$AB$732,0))
))</f>
        <v>Source of residual risks: Zero-days, skilled adversaries (e.g. APTs), obfuscation and encryption, and living off the land.
Gap: Monitoring focused on endpoints and web traffic, lack of monitoring solution on server devices.
Potential additional control: Network segmentation.</v>
      </c>
      <c r="Z22" s="95"/>
      <c r="AA22" s="96"/>
      <c r="AB22" s="85"/>
      <c r="AC22" s="86"/>
      <c r="AD22" s="87" t="str">
        <f>IFERROR(IF('[1]2. Prepare'!$O$50="Quantitative",INDEX('[1]Lists and Calcs (Hidden)'!$M$12:$Q$16,MATCH('[1]6. Risk Register Integration'!AB22,'[1]Lists and Calcs (Hidden)'!$K$12:$K$16,0),MATCH('[1]6. Risk Register Integration'!AC22,'[1]Lists and Calcs (Hidden)'!$M$10:$Q$10,0)),INDEX('[1]Lists and Calcs (Hidden)'!$Z$12:$AD$16,MATCH('[1]6. Risk Register Integration'!AB22,'[1]Lists and Calcs (Hidden)'!$X$12:$X$16,0),MATCH('[1]6. Risk Register Integration'!AC22,'[1]Lists and Calcs (Hidden)'!$Z$10:$AD$10,0))),"")</f>
        <v/>
      </c>
      <c r="AE22" s="54"/>
      <c r="AF22" s="4"/>
      <c r="AG22" s="4"/>
    </row>
    <row r="23" spans="2:33" ht="330" customHeight="1" x14ac:dyDescent="0.2">
      <c r="B23" s="97"/>
      <c r="C23" s="89" t="str">
        <f>IF('[1]Lists and Calcs (Hidden)'!AJ47="","",
                    IF(INDEX('[1]5. Assess Risks'!$B$6:$B$704,MATCH('[1]Lists and Calcs (Hidden)'!AJ47,'[1]Lists and Calcs (Hidden)'!$AB$34:$AB$732,0))="","",
                                    INDEX('[1]5. Assess Risks'!$B$6:$B$704,MATCH('[1]Lists and Calcs (Hidden)'!AJ47,'[1]Lists and Calcs (Hidden)'!$AB$34:$AB$732,0))
))</f>
        <v>TRA1.19 - ERP System - An attacker compromises a server with access to the SAN. They then exploit vulnerabilities in the SAN management interface or protocols to gather information about the storage devices connected to the SAN. This information could include the types of devices being stored (physical servers, virtual machines, etc.), the amount of storage allocated to each device, and potentially even labels or descriptive names assigned to the storage volumes. This information could be used to identify high-value targets on the network (e.g. servers storing sensitive data) or to plan further attacks against specific devices.</v>
      </c>
      <c r="D23" s="90">
        <f>IF(C23="", "", '[1]2. Prepare'!$E$6)</f>
        <v>45033</v>
      </c>
      <c r="E23" s="91"/>
      <c r="F23" s="91" t="s">
        <v>40</v>
      </c>
      <c r="G23" s="91" t="s">
        <v>45</v>
      </c>
      <c r="H23" s="91" t="s">
        <v>42</v>
      </c>
      <c r="I23" s="89" t="str">
        <f>IF('[1]Lists and Calcs (Hidden)'!AJ47="","",
                    IF(INDEX('[1]5. Assess Risks'!$D$6:$D$704,MATCH('[1]Lists and Calcs (Hidden)'!AJ47,'[1]Lists and Calcs (Hidden)'!$AB$34:$AB$732,0))="","",
                                    INDEX('[1]5. Assess Risks'!$D$6:$D$704,MATCH('[1]Lists and Calcs (Hidden)'!AJ47,'[1]Lists and Calcs (Hidden)'!$AB$34:$AB$732,0))
))</f>
        <v>WAF, Email Filtering, Vulnerability Management Program, Application Safelisting, Security Awareness Training Program, Phishing Simulations, Firewall, Endpoint Detection and Response, Intrusion Detection and Protection, Data Loss Prevention.</v>
      </c>
      <c r="J23" s="91"/>
      <c r="K23" s="91"/>
      <c r="L23" s="91"/>
      <c r="M23" s="91"/>
      <c r="N23" s="91"/>
      <c r="O23" s="91"/>
      <c r="P23" s="92" t="str">
        <f>IF('[1]Lists and Calcs (Hidden)'!AJ47="","",
                    IF(INDEX('[1]5. Assess Risks'!$G$6:$G$704,MATCH('[1]Lists and Calcs (Hidden)'!AJ47,'[1]Lists and Calcs (Hidden)'!$AB$34:$AB$732,0))="","",
                                    INDEX('[1]5. Assess Risks'!$G$6:$G$704,MATCH('[1]Lists and Calcs (Hidden)'!AJ47,'[1]Lists and Calcs (Hidden)'!$AB$34:$AB$732,0))
))</f>
        <v>Possible</v>
      </c>
      <c r="Q23" s="92" t="str">
        <f>IF('[1]Lists and Calcs (Hidden)'!AJ47="","",
                    IF(INDEX('[1]5. Assess Risks'!$H$6:$H$704,MATCH('[1]Lists and Calcs (Hidden)'!AJ47,'[1]Lists and Calcs (Hidden)'!$AB$34:$AB$732,0))="","",
                                    INDEX('[1]5. Assess Risks'!$H$6:$H$704,MATCH('[1]Lists and Calcs (Hidden)'!AJ47,'[1]Lists and Calcs (Hidden)'!$AB$34:$AB$732,0))
))</f>
        <v>Major</v>
      </c>
      <c r="R23" s="93" t="str">
        <f>IFERROR(IF('[1]2. Prepare'!$O$50="Quantitative",INDEX('[1]Lists and Calcs (Hidden)'!$M$12:$Q$16,MATCH('[1]6. Risk Register Integration'!P23,'[1]Lists and Calcs (Hidden)'!$K$12:$K$16,0),MATCH('[1]6. Risk Register Integration'!Q23,'[1]Lists and Calcs (Hidden)'!$M$10:$Q$10,0)),INDEX('[1]Lists and Calcs (Hidden)'!$Z$12:$AD$16,MATCH('[1]6. Risk Register Integration'!P23,'[1]Lists and Calcs (Hidden)'!$X$12:$X$16,0),MATCH('[1]6. Risk Register Integration'!Q23,'[1]Lists and Calcs (Hidden)'!$Z$10:$AD$10,0))),"")</f>
        <v>Medium</v>
      </c>
      <c r="S23" s="94" t="str">
        <f>IF('[1]Lists and Calcs (Hidden)'!AJ47="","",
                    IF(INDEX('[1]5. Assess Risks'!$J$6:$J$704,MATCH('[1]Lists and Calcs (Hidden)'!AJ47,'[1]Lists and Calcs (Hidden)'!$AB$34:$AB$732,0))="","",
                                    INDEX('[1]5. Assess Risks'!$J$6:$J$704,MATCH('[1]Lists and Calcs (Hidden)'!AJ47,'[1]Lists and Calcs (Hidden)'!$AB$34:$AB$732,0))
))</f>
        <v>Formally Accept the Risk</v>
      </c>
      <c r="T23" s="102"/>
      <c r="U23" s="105"/>
      <c r="V23" s="106"/>
      <c r="W23" s="105"/>
      <c r="X23" s="105"/>
      <c r="Y23" s="89" t="str">
        <f>IF('[1]Lists and Calcs (Hidden)'!AJ47="","",
                    IF(INDEX('[1]5. Assess Risks'!$L$6:$L$704,MATCH('[1]Lists and Calcs (Hidden)'!AJ47,'[1]Lists and Calcs (Hidden)'!$AB$34:$AB$732,0))="","",
                                    INDEX('[1]5. Assess Risks'!$L$6:$L$704,MATCH('[1]Lists and Calcs (Hidden)'!AJ47,'[1]Lists and Calcs (Hidden)'!$AB$34:$AB$732,0))
))</f>
        <v>Source of residual risks: Zero-days, skilled adversaries, misconfigurations, admin credential reuse, lateral movement, physical attacks.
Gap: Monitoring focused on endpoints and web traffic, lack of monitoring solution on server devices.
Potential additional control: Network segmentation.</v>
      </c>
      <c r="Z23" s="95"/>
      <c r="AA23" s="96"/>
      <c r="AB23" s="85"/>
      <c r="AC23" s="86"/>
      <c r="AD23" s="87" t="str">
        <f>IFERROR(IF('[1]2. Prepare'!$O$50="Quantitative",INDEX('[1]Lists and Calcs (Hidden)'!$M$12:$Q$16,MATCH('[1]6. Risk Register Integration'!AB23,'[1]Lists and Calcs (Hidden)'!$K$12:$K$16,0),MATCH('[1]6. Risk Register Integration'!AC23,'[1]Lists and Calcs (Hidden)'!$M$10:$Q$10,0)),INDEX('[1]Lists and Calcs (Hidden)'!$Z$12:$AD$16,MATCH('[1]6. Risk Register Integration'!AB23,'[1]Lists and Calcs (Hidden)'!$X$12:$X$16,0),MATCH('[1]6. Risk Register Integration'!AC23,'[1]Lists and Calcs (Hidden)'!$Z$10:$AD$10,0))),"")</f>
        <v/>
      </c>
      <c r="AE23" s="54"/>
      <c r="AF23" s="4"/>
      <c r="AG23" s="4"/>
    </row>
    <row r="24" spans="2:33" ht="330" customHeight="1" x14ac:dyDescent="0.2">
      <c r="B24" s="97"/>
      <c r="C24" s="98" t="str">
        <f>IF('[1]Lists and Calcs (Hidden)'!AJ48="","",
                    IF(INDEX('[1]5. Assess Risks'!$B$6:$B$704,MATCH('[1]Lists and Calcs (Hidden)'!AJ48,'[1]Lists and Calcs (Hidden)'!$AB$34:$AB$732,0))="","",
                                    INDEX('[1]5. Assess Risks'!$B$6:$B$704,MATCH('[1]Lists and Calcs (Hidden)'!AJ48,'[1]Lists and Calcs (Hidden)'!$AB$34:$AB$732,0))
))</f>
        <v>TRA1.20 - ERP System - An attacker with administrative access to the SAN configuration can access and collect data stored on the SAN devices. This data could include sensitive information like financial records, personal data, intellectual property, or internal documents. The attacker might then exfiltrate this collected data for further exploitation. In addition to administrative access, there could also be scenarios where an attacker exploits vulnerabilities in the SAN software or firmware to gain unauthorized access and collect data.</v>
      </c>
      <c r="D24" s="90">
        <f>IF(C24="", "", '[1]2. Prepare'!$E$6)</f>
        <v>45033</v>
      </c>
      <c r="E24" s="91"/>
      <c r="F24" s="91"/>
      <c r="G24" s="91"/>
      <c r="H24" s="91"/>
      <c r="I24" s="98" t="str">
        <f>IF('[1]Lists and Calcs (Hidden)'!AJ48="","",
                    IF(INDEX('[1]5. Assess Risks'!$D$6:$D$704,MATCH('[1]Lists and Calcs (Hidden)'!AJ48,'[1]Lists and Calcs (Hidden)'!$AB$34:$AB$732,0))="","",
                                    INDEX('[1]5. Assess Risks'!$D$6:$D$704,MATCH('[1]Lists and Calcs (Hidden)'!AJ48,'[1]Lists and Calcs (Hidden)'!$AB$34:$AB$732,0))
))</f>
        <v>WAF, Email Filtering, Vulnerability Management Program, Application Safelisting, Security Awareness Training Program, Phishing Simulations, Firewall, Endpoint Detection and Response, Intrusion Detection and Protection, Data Loss Prevention.</v>
      </c>
      <c r="J24" s="91"/>
      <c r="K24" s="91"/>
      <c r="L24" s="91"/>
      <c r="M24" s="91"/>
      <c r="N24" s="91"/>
      <c r="O24" s="91"/>
      <c r="P24" s="99" t="str">
        <f>IF('[1]Lists and Calcs (Hidden)'!AJ48="","",
                    IF(INDEX('[1]5. Assess Risks'!$G$6:$G$704,MATCH('[1]Lists and Calcs (Hidden)'!AJ48,'[1]Lists and Calcs (Hidden)'!$AB$34:$AB$732,0))="","",
                                    INDEX('[1]5. Assess Risks'!$G$6:$G$704,MATCH('[1]Lists and Calcs (Hidden)'!AJ48,'[1]Lists and Calcs (Hidden)'!$AB$34:$AB$732,0))
))</f>
        <v>Possible</v>
      </c>
      <c r="Q24" s="99" t="str">
        <f>IF('[1]Lists and Calcs (Hidden)'!AJ48="","",
                    IF(INDEX('[1]5. Assess Risks'!$H$6:$H$704,MATCH('[1]Lists and Calcs (Hidden)'!AJ48,'[1]Lists and Calcs (Hidden)'!$AB$34:$AB$732,0))="","",
                                    INDEX('[1]5. Assess Risks'!$H$6:$H$704,MATCH('[1]Lists and Calcs (Hidden)'!AJ48,'[1]Lists and Calcs (Hidden)'!$AB$34:$AB$732,0))
))</f>
        <v>Catastrophic</v>
      </c>
      <c r="R24" s="100" t="str">
        <f>IFERROR(IF('[1]2. Prepare'!$O$50="Quantitative",INDEX('[1]Lists and Calcs (Hidden)'!$M$12:$Q$16,MATCH('[1]6. Risk Register Integration'!P24,'[1]Lists and Calcs (Hidden)'!$K$12:$K$16,0),MATCH('[1]6. Risk Register Integration'!Q24,'[1]Lists and Calcs (Hidden)'!$M$10:$Q$10,0)),INDEX('[1]Lists and Calcs (Hidden)'!$Z$12:$AD$16,MATCH('[1]6. Risk Register Integration'!P24,'[1]Lists and Calcs (Hidden)'!$X$12:$X$16,0),MATCH('[1]6. Risk Register Integration'!Q24,'[1]Lists and Calcs (Hidden)'!$Z$10:$AD$10,0))),"")</f>
        <v>High</v>
      </c>
      <c r="S24" s="101" t="str">
        <f>IF('[1]Lists and Calcs (Hidden)'!AJ48="","",
                    IF(INDEX('[1]5. Assess Risks'!$J$6:$J$704,MATCH('[1]Lists and Calcs (Hidden)'!AJ48,'[1]Lists and Calcs (Hidden)'!$AB$34:$AB$732,0))="","",
                                    INDEX('[1]5. Assess Risks'!$J$6:$J$704,MATCH('[1]Lists and Calcs (Hidden)'!AJ48,'[1]Lists and Calcs (Hidden)'!$AB$34:$AB$732,0))
))</f>
        <v>Mitigate the Risk</v>
      </c>
      <c r="T24" s="102"/>
      <c r="U24" s="105"/>
      <c r="V24" s="106"/>
      <c r="W24" s="105"/>
      <c r="X24" s="105"/>
      <c r="Y24" s="98" t="str">
        <f>IF('[1]Lists and Calcs (Hidden)'!AJ48="","",
                    IF(INDEX('[1]5. Assess Risks'!$L$6:$L$704,MATCH('[1]Lists and Calcs (Hidden)'!AJ48,'[1]Lists and Calcs (Hidden)'!$AB$34:$AB$732,0))="","",
                                    INDEX('[1]5. Assess Risks'!$L$6:$L$704,MATCH('[1]Lists and Calcs (Hidden)'!AJ48,'[1]Lists and Calcs (Hidden)'!$AB$34:$AB$732,0))
))</f>
        <v>Source of residual risks: Zero-days, skilled adversaries, sensitivity of data, insider threats, and lateral movement.
Gap: Monitoring focused on endpoints and web traffic, lack of monitoring solution on server devices.
Potential additional control: Network segmentation.</v>
      </c>
      <c r="Z24" s="95"/>
      <c r="AA24" s="96"/>
      <c r="AB24" s="85"/>
      <c r="AC24" s="86"/>
      <c r="AD24" s="87" t="str">
        <f>IFERROR(IF('[1]2. Prepare'!$O$50="Quantitative",INDEX('[1]Lists and Calcs (Hidden)'!$M$12:$Q$16,MATCH('[1]6. Risk Register Integration'!AB24,'[1]Lists and Calcs (Hidden)'!$K$12:$K$16,0),MATCH('[1]6. Risk Register Integration'!AC24,'[1]Lists and Calcs (Hidden)'!$M$10:$Q$10,0)),INDEX('[1]Lists and Calcs (Hidden)'!$Z$12:$AD$16,MATCH('[1]6. Risk Register Integration'!AB24,'[1]Lists and Calcs (Hidden)'!$X$12:$X$16,0),MATCH('[1]6. Risk Register Integration'!AC24,'[1]Lists and Calcs (Hidden)'!$Z$10:$AD$10,0))),"")</f>
        <v/>
      </c>
      <c r="AE24" s="54"/>
      <c r="AF24" s="4"/>
      <c r="AG24" s="4"/>
    </row>
    <row r="25" spans="2:33" ht="330" customHeight="1" x14ac:dyDescent="0.2">
      <c r="B25" s="97"/>
      <c r="C25" s="89" t="str">
        <f>IF('[1]Lists and Calcs (Hidden)'!AJ49="","",
                    IF(INDEX('[1]5. Assess Risks'!$B$6:$B$704,MATCH('[1]Lists and Calcs (Hidden)'!AJ49,'[1]Lists and Calcs (Hidden)'!$AB$34:$AB$732,0))="","",
                                    INDEX('[1]5. Assess Risks'!$B$6:$B$704,MATCH('[1]Lists and Calcs (Hidden)'!AJ49,'[1]Lists and Calcs (Hidden)'!$AB$34:$AB$732,0))
))</f>
        <v>TRA1.23 - ERP System - Attackers gain physical access to a backup device (e.g. external hard drive, tape drive) or a backup appliance. They then exploit vulnerabilities in the backup software or firmware to gather information about the systems and data being backed up. This information could include details about the OS, applications, and files that are stored on the primary systems. They could use this data to target other systems for further attacks or to identify high-value data to steal. Attackers might use social engineering to trick administrators into revealing information about the backup system configuration or stored data without physical access.</v>
      </c>
      <c r="D25" s="90">
        <f>IF(C25="", "", '[1]2. Prepare'!$E$6)</f>
        <v>45033</v>
      </c>
      <c r="E25" s="91"/>
      <c r="F25" s="91"/>
      <c r="G25" s="91"/>
      <c r="H25" s="91"/>
      <c r="I25" s="89" t="str">
        <f>IF('[1]Lists and Calcs (Hidden)'!AJ49="","",
                    IF(INDEX('[1]5. Assess Risks'!$D$6:$D$704,MATCH('[1]Lists and Calcs (Hidden)'!AJ49,'[1]Lists and Calcs (Hidden)'!$AB$34:$AB$732,0))="","",
                                    INDEX('[1]5. Assess Risks'!$D$6:$D$704,MATCH('[1]Lists and Calcs (Hidden)'!AJ49,'[1]Lists and Calcs (Hidden)'!$AB$34:$AB$732,0))
))</f>
        <v>WAF, Email Filtering, Vulnerability Management Program, Application Safelisting, Security Awareness Training Program, Phishing Simulations, Firewall, Endpoint Detection and Response, Intrusion Detection and Protection, Data Loss Prevention.</v>
      </c>
      <c r="J25" s="91"/>
      <c r="K25" s="91"/>
      <c r="L25" s="91"/>
      <c r="M25" s="91"/>
      <c r="N25" s="91"/>
      <c r="O25" s="91"/>
      <c r="P25" s="92" t="str">
        <f>IF('[1]Lists and Calcs (Hidden)'!AJ49="","",
                    IF(INDEX('[1]5. Assess Risks'!$G$6:$G$704,MATCH('[1]Lists and Calcs (Hidden)'!AJ49,'[1]Lists and Calcs (Hidden)'!$AB$34:$AB$732,0))="","",
                                    INDEX('[1]5. Assess Risks'!$G$6:$G$704,MATCH('[1]Lists and Calcs (Hidden)'!AJ49,'[1]Lists and Calcs (Hidden)'!$AB$34:$AB$732,0))
))</f>
        <v>Unlikely</v>
      </c>
      <c r="Q25" s="92" t="str">
        <f>IF('[1]Lists and Calcs (Hidden)'!AJ49="","",
                    IF(INDEX('[1]5. Assess Risks'!$H$6:$H$704,MATCH('[1]Lists and Calcs (Hidden)'!AJ49,'[1]Lists and Calcs (Hidden)'!$AB$34:$AB$732,0))="","",
                                    INDEX('[1]5. Assess Risks'!$H$6:$H$704,MATCH('[1]Lists and Calcs (Hidden)'!AJ49,'[1]Lists and Calcs (Hidden)'!$AB$34:$AB$732,0))
))</f>
        <v>Moderate</v>
      </c>
      <c r="R25" s="93" t="str">
        <f>IFERROR(IF('[1]2. Prepare'!$O$50="Quantitative",INDEX('[1]Lists and Calcs (Hidden)'!$M$12:$Q$16,MATCH('[1]6. Risk Register Integration'!P25,'[1]Lists and Calcs (Hidden)'!$K$12:$K$16,0),MATCH('[1]6. Risk Register Integration'!Q25,'[1]Lists and Calcs (Hidden)'!$M$10:$Q$10,0)),INDEX('[1]Lists and Calcs (Hidden)'!$Z$12:$AD$16,MATCH('[1]6. Risk Register Integration'!P25,'[1]Lists and Calcs (Hidden)'!$X$12:$X$16,0),MATCH('[1]6. Risk Register Integration'!Q25,'[1]Lists and Calcs (Hidden)'!$Z$10:$AD$10,0))),"")</f>
        <v>Medium</v>
      </c>
      <c r="S25" s="94" t="str">
        <f>IF('[1]Lists and Calcs (Hidden)'!AJ49="","",
                    IF(INDEX('[1]5. Assess Risks'!$J$6:$J$704,MATCH('[1]Lists and Calcs (Hidden)'!AJ49,'[1]Lists and Calcs (Hidden)'!$AB$34:$AB$732,0))="","",
                                    INDEX('[1]5. Assess Risks'!$J$6:$J$704,MATCH('[1]Lists and Calcs (Hidden)'!AJ49,'[1]Lists and Calcs (Hidden)'!$AB$34:$AB$732,0))
))</f>
        <v>No New Actions Needed</v>
      </c>
      <c r="T25" s="102"/>
      <c r="U25" s="105"/>
      <c r="V25" s="106"/>
      <c r="W25" s="105"/>
      <c r="X25" s="105"/>
      <c r="Y25" s="89" t="str">
        <f>IF('[1]Lists and Calcs (Hidden)'!AJ49="","",
                    IF(INDEX('[1]5. Assess Risks'!$L$6:$L$704,MATCH('[1]Lists and Calcs (Hidden)'!AJ49,'[1]Lists and Calcs (Hidden)'!$AB$34:$AB$732,0))="","",
                                    INDEX('[1]5. Assess Risks'!$L$6:$L$704,MATCH('[1]Lists and Calcs (Hidden)'!AJ49,'[1]Lists and Calcs (Hidden)'!$AB$34:$AB$732,0))
))</f>
        <v>Source of residual risks: Zero-days, skilled adversaries, misconfigurations, insider threats.</v>
      </c>
      <c r="Z25" s="95"/>
      <c r="AA25" s="96"/>
      <c r="AB25" s="85"/>
      <c r="AC25" s="86"/>
      <c r="AD25" s="87" t="str">
        <f>IFERROR(IF('[1]2. Prepare'!$O$50="Quantitative",INDEX('[1]Lists and Calcs (Hidden)'!$M$12:$Q$16,MATCH('[1]6. Risk Register Integration'!AB25,'[1]Lists and Calcs (Hidden)'!$K$12:$K$16,0),MATCH('[1]6. Risk Register Integration'!AC25,'[1]Lists and Calcs (Hidden)'!$M$10:$Q$10,0)),INDEX('[1]Lists and Calcs (Hidden)'!$Z$12:$AD$16,MATCH('[1]6. Risk Register Integration'!AB25,'[1]Lists and Calcs (Hidden)'!$X$12:$X$16,0),MATCH('[1]6. Risk Register Integration'!AC25,'[1]Lists and Calcs (Hidden)'!$Z$10:$AD$10,0))),"")</f>
        <v/>
      </c>
      <c r="AE25" s="54"/>
      <c r="AF25" s="4"/>
      <c r="AG25" s="4"/>
    </row>
    <row r="26" spans="2:33" ht="330" customHeight="1" x14ac:dyDescent="0.2">
      <c r="B26" s="97"/>
      <c r="C26" s="98" t="str">
        <f>IF('[1]Lists and Calcs (Hidden)'!AJ50="","",
                    IF(INDEX('[1]5. Assess Risks'!$B$6:$B$704,MATCH('[1]Lists and Calcs (Hidden)'!AJ50,'[1]Lists and Calcs (Hidden)'!$AB$34:$AB$732,0))="","",
                                    INDEX('[1]5. Assess Risks'!$B$6:$B$704,MATCH('[1]Lists and Calcs (Hidden)'!AJ50,'[1]Lists and Calcs (Hidden)'!$AB$34:$AB$732,0))
))</f>
        <v>TRA1.24 - ERP System - Physical Access: Attackers with physical access to a backup device could steal credentials stored on the device. This might involve exploiting the backup software's security weaknesses or using hardware tools to bypass encryption and access credential information.
Network Access: If the backup system uses network-attached storage (NAS) or cloud storage, attackers might target vulnerabilities in the backup software or network protocols to access credentials to authenticate with the backup storage.</v>
      </c>
      <c r="D26" s="90">
        <f>IF(C26="", "", '[1]2. Prepare'!$E$6)</f>
        <v>45033</v>
      </c>
      <c r="E26" s="91"/>
      <c r="F26" s="91"/>
      <c r="G26" s="91"/>
      <c r="H26" s="91"/>
      <c r="I26" s="98" t="str">
        <f>IF('[1]Lists and Calcs (Hidden)'!AJ50="","",
                    IF(INDEX('[1]5. Assess Risks'!$D$6:$D$704,MATCH('[1]Lists and Calcs (Hidden)'!AJ50,'[1]Lists and Calcs (Hidden)'!$AB$34:$AB$732,0))="","",
                                    INDEX('[1]5. Assess Risks'!$D$6:$D$704,MATCH('[1]Lists and Calcs (Hidden)'!AJ50,'[1]Lists and Calcs (Hidden)'!$AB$34:$AB$732,0))
))</f>
        <v>WAF, Email Filtering, Vulnerability Management Program, Application Safelisting, Security Awareness Training Program, Phishing Simulations, Firewall, Endpoint Detection and Response, Intrusion Detection and Protection, Data Loss Prevention.</v>
      </c>
      <c r="J26" s="91"/>
      <c r="K26" s="91"/>
      <c r="L26" s="91"/>
      <c r="M26" s="91"/>
      <c r="N26" s="91"/>
      <c r="O26" s="91"/>
      <c r="P26" s="99" t="str">
        <f>IF('[1]Lists and Calcs (Hidden)'!AJ50="","",
                    IF(INDEX('[1]5. Assess Risks'!$G$6:$G$704,MATCH('[1]Lists and Calcs (Hidden)'!AJ50,'[1]Lists and Calcs (Hidden)'!$AB$34:$AB$732,0))="","",
                                    INDEX('[1]5. Assess Risks'!$G$6:$G$704,MATCH('[1]Lists and Calcs (Hidden)'!AJ50,'[1]Lists and Calcs (Hidden)'!$AB$34:$AB$732,0))
))</f>
        <v>Unlikely</v>
      </c>
      <c r="Q26" s="99" t="str">
        <f>IF('[1]Lists and Calcs (Hidden)'!AJ50="","",
                    IF(INDEX('[1]5. Assess Risks'!$H$6:$H$704,MATCH('[1]Lists and Calcs (Hidden)'!AJ50,'[1]Lists and Calcs (Hidden)'!$AB$34:$AB$732,0))="","",
                                    INDEX('[1]5. Assess Risks'!$H$6:$H$704,MATCH('[1]Lists and Calcs (Hidden)'!AJ50,'[1]Lists and Calcs (Hidden)'!$AB$34:$AB$732,0))
))</f>
        <v>Major</v>
      </c>
      <c r="R26" s="100" t="str">
        <f>IFERROR(IF('[1]2. Prepare'!$O$50="Quantitative",INDEX('[1]Lists and Calcs (Hidden)'!$M$12:$Q$16,MATCH('[1]6. Risk Register Integration'!P26,'[1]Lists and Calcs (Hidden)'!$K$12:$K$16,0),MATCH('[1]6. Risk Register Integration'!Q26,'[1]Lists and Calcs (Hidden)'!$M$10:$Q$10,0)),INDEX('[1]Lists and Calcs (Hidden)'!$Z$12:$AD$16,MATCH('[1]6. Risk Register Integration'!P26,'[1]Lists and Calcs (Hidden)'!$X$12:$X$16,0),MATCH('[1]6. Risk Register Integration'!Q26,'[1]Lists and Calcs (Hidden)'!$Z$10:$AD$10,0))),"")</f>
        <v>Medium</v>
      </c>
      <c r="S26" s="101" t="str">
        <f>IF('[1]Lists and Calcs (Hidden)'!AJ50="","",
                    IF(INDEX('[1]5. Assess Risks'!$J$6:$J$704,MATCH('[1]Lists and Calcs (Hidden)'!AJ50,'[1]Lists and Calcs (Hidden)'!$AB$34:$AB$732,0))="","",
                                    INDEX('[1]5. Assess Risks'!$J$6:$J$704,MATCH('[1]Lists and Calcs (Hidden)'!AJ50,'[1]Lists and Calcs (Hidden)'!$AB$34:$AB$732,0))
))</f>
        <v>No New Actions Needed</v>
      </c>
      <c r="T26" s="102"/>
      <c r="U26" s="105"/>
      <c r="V26" s="106"/>
      <c r="W26" s="105"/>
      <c r="X26" s="105"/>
      <c r="Y26" s="98" t="str">
        <f>IF('[1]Lists and Calcs (Hidden)'!AJ50="","",
                    IF(INDEX('[1]5. Assess Risks'!$L$6:$L$704,MATCH('[1]Lists and Calcs (Hidden)'!AJ50,'[1]Lists and Calcs (Hidden)'!$AB$34:$AB$732,0))="","",
                                    INDEX('[1]5. Assess Risks'!$L$6:$L$704,MATCH('[1]Lists and Calcs (Hidden)'!AJ50,'[1]Lists and Calcs (Hidden)'!$AB$34:$AB$732,0))
))</f>
        <v>Source of residual risks: Zero-days, skilled adversaries, misconfigurations, insider threats (internal discovery).
Gap: Monitoring focused on endpoints and web traffic, lack of monitoring solution on server devices.
Potential additional control: Network segmentation.</v>
      </c>
      <c r="Z26" s="95"/>
      <c r="AA26" s="96"/>
      <c r="AB26" s="85"/>
      <c r="AC26" s="86"/>
      <c r="AD26" s="87" t="str">
        <f>IFERROR(IF('[1]2. Prepare'!$O$50="Quantitative",INDEX('[1]Lists and Calcs (Hidden)'!$M$12:$Q$16,MATCH('[1]6. Risk Register Integration'!AB26,'[1]Lists and Calcs (Hidden)'!$K$12:$K$16,0),MATCH('[1]6. Risk Register Integration'!AC26,'[1]Lists and Calcs (Hidden)'!$M$10:$Q$10,0)),INDEX('[1]Lists and Calcs (Hidden)'!$Z$12:$AD$16,MATCH('[1]6. Risk Register Integration'!AB26,'[1]Lists and Calcs (Hidden)'!$X$12:$X$16,0),MATCH('[1]6. Risk Register Integration'!AC26,'[1]Lists and Calcs (Hidden)'!$Z$10:$AD$10,0))),"")</f>
        <v/>
      </c>
      <c r="AE26" s="54"/>
      <c r="AF26" s="4"/>
      <c r="AG26" s="4"/>
    </row>
    <row r="27" spans="2:33" ht="330" customHeight="1" x14ac:dyDescent="0.2">
      <c r="B27" s="97"/>
      <c r="C27" s="89" t="str">
        <f>IF('[1]Lists and Calcs (Hidden)'!AJ51="","",
                    IF(INDEX('[1]5. Assess Risks'!$B$6:$B$704,MATCH('[1]Lists and Calcs (Hidden)'!AJ51,'[1]Lists and Calcs (Hidden)'!$AB$34:$AB$732,0))="","",
                                    INDEX('[1]5. Assess Risks'!$B$6:$B$704,MATCH('[1]Lists and Calcs (Hidden)'!AJ51,'[1]Lists and Calcs (Hidden)'!$AB$34:$AB$732,0))
))</f>
        <v>TRA1.25 - ERP System - Backup systems are vulnerable to discovery attempts. An attacker might exploit weaknesses to learn what systems are backed up, how often, and for how long. This information aids in targeting specific systems or planning attacks against the backup process itself.</v>
      </c>
      <c r="D27" s="90">
        <f>IF(C27="", "", '[1]2. Prepare'!$E$6)</f>
        <v>45033</v>
      </c>
      <c r="E27" s="91"/>
      <c r="F27" s="91"/>
      <c r="G27" s="91"/>
      <c r="H27" s="91"/>
      <c r="I27" s="89" t="str">
        <f>IF('[1]Lists and Calcs (Hidden)'!AJ51="","",
                    IF(INDEX('[1]5. Assess Risks'!$D$6:$D$704,MATCH('[1]Lists and Calcs (Hidden)'!AJ51,'[1]Lists and Calcs (Hidden)'!$AB$34:$AB$732,0))="","",
                                    INDEX('[1]5. Assess Risks'!$D$6:$D$704,MATCH('[1]Lists and Calcs (Hidden)'!AJ51,'[1]Lists and Calcs (Hidden)'!$AB$34:$AB$732,0))
))</f>
        <v>WAF, Email Filtering, Vulnerability Management Program, Application Safelisting, Security Awareness Training Program, Phishing Simulations, Firewall, Endpoint Detection and Response, Intrusion Detection and Protection, Data Loss Prevention.</v>
      </c>
      <c r="J27" s="91"/>
      <c r="K27" s="91"/>
      <c r="L27" s="91"/>
      <c r="M27" s="91"/>
      <c r="N27" s="91"/>
      <c r="O27" s="91"/>
      <c r="P27" s="92" t="str">
        <f>IF('[1]Lists and Calcs (Hidden)'!AJ51="","",
                    IF(INDEX('[1]5. Assess Risks'!$G$6:$G$704,MATCH('[1]Lists and Calcs (Hidden)'!AJ51,'[1]Lists and Calcs (Hidden)'!$AB$34:$AB$732,0))="","",
                                    INDEX('[1]5. Assess Risks'!$G$6:$G$704,MATCH('[1]Lists and Calcs (Hidden)'!AJ51,'[1]Lists and Calcs (Hidden)'!$AB$34:$AB$732,0))
))</f>
        <v>Possible</v>
      </c>
      <c r="Q27" s="92" t="str">
        <f>IF('[1]Lists and Calcs (Hidden)'!AJ51="","",
                    IF(INDEX('[1]5. Assess Risks'!$H$6:$H$704,MATCH('[1]Lists and Calcs (Hidden)'!AJ51,'[1]Lists and Calcs (Hidden)'!$AB$34:$AB$732,0))="","",
                                    INDEX('[1]5. Assess Risks'!$H$6:$H$704,MATCH('[1]Lists and Calcs (Hidden)'!AJ51,'[1]Lists and Calcs (Hidden)'!$AB$34:$AB$732,0))
))</f>
        <v>Catastrophic</v>
      </c>
      <c r="R27" s="93" t="str">
        <f>IFERROR(IF('[1]2. Prepare'!$O$50="Quantitative",INDEX('[1]Lists and Calcs (Hidden)'!$M$12:$Q$16,MATCH('[1]6. Risk Register Integration'!P27,'[1]Lists and Calcs (Hidden)'!$K$12:$K$16,0),MATCH('[1]6. Risk Register Integration'!Q27,'[1]Lists and Calcs (Hidden)'!$M$10:$Q$10,0)),INDEX('[1]Lists and Calcs (Hidden)'!$Z$12:$AD$16,MATCH('[1]6. Risk Register Integration'!P27,'[1]Lists and Calcs (Hidden)'!$X$12:$X$16,0),MATCH('[1]6. Risk Register Integration'!Q27,'[1]Lists and Calcs (Hidden)'!$Z$10:$AD$10,0))),"")</f>
        <v>High</v>
      </c>
      <c r="S27" s="94" t="str">
        <f>IF('[1]Lists and Calcs (Hidden)'!AJ51="","",
                    IF(INDEX('[1]5. Assess Risks'!$J$6:$J$704,MATCH('[1]Lists and Calcs (Hidden)'!AJ51,'[1]Lists and Calcs (Hidden)'!$AB$34:$AB$732,0))="","",
                                    INDEX('[1]5. Assess Risks'!$J$6:$J$704,MATCH('[1]Lists and Calcs (Hidden)'!AJ51,'[1]Lists and Calcs (Hidden)'!$AB$34:$AB$732,0))
))</f>
        <v>Mitigate the Risk</v>
      </c>
      <c r="T27" s="102"/>
      <c r="U27" s="105"/>
      <c r="V27" s="106"/>
      <c r="W27" s="105"/>
      <c r="X27" s="105"/>
      <c r="Y27" s="89" t="str">
        <f>IF('[1]Lists and Calcs (Hidden)'!AJ51="","",
                    IF(INDEX('[1]5. Assess Risks'!$L$6:$L$704,MATCH('[1]Lists and Calcs (Hidden)'!AJ51,'[1]Lists and Calcs (Hidden)'!$AB$34:$AB$732,0))="","",
                                    INDEX('[1]5. Assess Risks'!$L$6:$L$704,MATCH('[1]Lists and Calcs (Hidden)'!AJ51,'[1]Lists and Calcs (Hidden)'!$AB$34:$AB$732,0))
))</f>
        <v>Source of residual risks: Zero-day, skilled adversaries, insider threat, sensitive data on SAN.</v>
      </c>
      <c r="Z27" s="95"/>
      <c r="AA27" s="96"/>
      <c r="AB27" s="85"/>
      <c r="AC27" s="86"/>
      <c r="AD27" s="87" t="str">
        <f>IFERROR(IF('[1]2. Prepare'!$O$50="Quantitative",INDEX('[1]Lists and Calcs (Hidden)'!$M$12:$Q$16,MATCH('[1]6. Risk Register Integration'!AB27,'[1]Lists and Calcs (Hidden)'!$K$12:$K$16,0),MATCH('[1]6. Risk Register Integration'!AC27,'[1]Lists and Calcs (Hidden)'!$M$10:$Q$10,0)),INDEX('[1]Lists and Calcs (Hidden)'!$Z$12:$AD$16,MATCH('[1]6. Risk Register Integration'!AB27,'[1]Lists and Calcs (Hidden)'!$X$12:$X$16,0),MATCH('[1]6. Risk Register Integration'!AC27,'[1]Lists and Calcs (Hidden)'!$Z$10:$AD$10,0))),"")</f>
        <v/>
      </c>
      <c r="AE27" s="54"/>
      <c r="AF27" s="4"/>
      <c r="AG27" s="4"/>
    </row>
    <row r="28" spans="2:33" ht="330" customHeight="1" x14ac:dyDescent="0.2">
      <c r="B28" s="88"/>
      <c r="C28" s="98" t="str">
        <f>IF('[1]Lists and Calcs (Hidden)'!AJ52="","",
                    IF(INDEX('[1]5. Assess Risks'!$B$6:$B$704,MATCH('[1]Lists and Calcs (Hidden)'!AJ52,'[1]Lists and Calcs (Hidden)'!$AB$34:$AB$732,0))="","",
                                    INDEX('[1]5. Assess Risks'!$B$6:$B$704,MATCH('[1]Lists and Calcs (Hidden)'!AJ52,'[1]Lists and Calcs (Hidden)'!$AB$34:$AB$732,0))
))</f>
        <v>TRA1.27 - ERP System - Backup systems are prime targets for exfiltration. Attackers with physical access could steal the media or copy data. With network access, they could exploit vulnerabilities to exfiltrate data over the network.</v>
      </c>
      <c r="D28" s="90">
        <f>IF(C28="", "", '[1]2. Prepare'!$E$6)</f>
        <v>45033</v>
      </c>
      <c r="E28" s="91"/>
      <c r="F28" s="91"/>
      <c r="G28" s="91"/>
      <c r="H28" s="91"/>
      <c r="I28" s="98" t="str">
        <f>IF('[1]Lists and Calcs (Hidden)'!AJ52="","",
                    IF(INDEX('[1]5. Assess Risks'!$D$6:$D$704,MATCH('[1]Lists and Calcs (Hidden)'!AJ52,'[1]Lists and Calcs (Hidden)'!$AB$34:$AB$732,0))="","",
                                    INDEX('[1]5. Assess Risks'!$D$6:$D$704,MATCH('[1]Lists and Calcs (Hidden)'!AJ52,'[1]Lists and Calcs (Hidden)'!$AB$34:$AB$732,0))
))</f>
        <v>WAF, Email Filtering, Vulnerability Management Program, Application Safelisting, Security Awareness Training Program, Phishing Simulations, Firewall, Endpoint Detection and Response, Intrusion Detection and Protection, Data Loss Prevention.</v>
      </c>
      <c r="J28" s="91"/>
      <c r="K28" s="91"/>
      <c r="L28" s="91"/>
      <c r="M28" s="91"/>
      <c r="N28" s="91"/>
      <c r="O28" s="91"/>
      <c r="P28" s="99" t="str">
        <f>IF('[1]Lists and Calcs (Hidden)'!AJ52="","",
                    IF(INDEX('[1]5. Assess Risks'!$G$6:$G$704,MATCH('[1]Lists and Calcs (Hidden)'!AJ52,'[1]Lists and Calcs (Hidden)'!$AB$34:$AB$732,0))="","",
                                    INDEX('[1]5. Assess Risks'!$G$6:$G$704,MATCH('[1]Lists and Calcs (Hidden)'!AJ52,'[1]Lists and Calcs (Hidden)'!$AB$34:$AB$732,0))
))</f>
        <v>Possible</v>
      </c>
      <c r="Q28" s="99" t="str">
        <f>IF('[1]Lists and Calcs (Hidden)'!AJ52="","",
                    IF(INDEX('[1]5. Assess Risks'!$H$6:$H$704,MATCH('[1]Lists and Calcs (Hidden)'!AJ52,'[1]Lists and Calcs (Hidden)'!$AB$34:$AB$732,0))="","",
                                    INDEX('[1]5. Assess Risks'!$H$6:$H$704,MATCH('[1]Lists and Calcs (Hidden)'!AJ52,'[1]Lists and Calcs (Hidden)'!$AB$34:$AB$732,0))
))</f>
        <v>Minor</v>
      </c>
      <c r="R28" s="100" t="str">
        <f>IFERROR(IF('[1]2. Prepare'!$O$50="Quantitative",INDEX('[1]Lists and Calcs (Hidden)'!$M$12:$Q$16,MATCH('[1]6. Risk Register Integration'!P28,'[1]Lists and Calcs (Hidden)'!$K$12:$K$16,0),MATCH('[1]6. Risk Register Integration'!Q28,'[1]Lists and Calcs (Hidden)'!$M$10:$Q$10,0)),INDEX('[1]Lists and Calcs (Hidden)'!$Z$12:$AD$16,MATCH('[1]6. Risk Register Integration'!P28,'[1]Lists and Calcs (Hidden)'!$X$12:$X$16,0),MATCH('[1]6. Risk Register Integration'!Q28,'[1]Lists and Calcs (Hidden)'!$Z$10:$AD$10,0))),"")</f>
        <v>Medium</v>
      </c>
      <c r="S28" s="101" t="str">
        <f>IF('[1]Lists and Calcs (Hidden)'!AJ52="","",
                    IF(INDEX('[1]5. Assess Risks'!$J$6:$J$704,MATCH('[1]Lists and Calcs (Hidden)'!AJ52,'[1]Lists and Calcs (Hidden)'!$AB$34:$AB$732,0))="","",
                                    INDEX('[1]5. Assess Risks'!$J$6:$J$704,MATCH('[1]Lists and Calcs (Hidden)'!AJ52,'[1]Lists and Calcs (Hidden)'!$AB$34:$AB$732,0))
))</f>
        <v>No New Actions Needed</v>
      </c>
      <c r="T28" s="102"/>
      <c r="U28" s="105"/>
      <c r="V28" s="106"/>
      <c r="W28" s="105"/>
      <c r="X28" s="105"/>
      <c r="Y28" s="98" t="str">
        <f>IF('[1]Lists and Calcs (Hidden)'!AJ52="","",
                    IF(INDEX('[1]5. Assess Risks'!$L$6:$L$704,MATCH('[1]Lists and Calcs (Hidden)'!AJ52,'[1]Lists and Calcs (Hidden)'!$AB$34:$AB$732,0))="","",
                                    INDEX('[1]5. Assess Risks'!$L$6:$L$704,MATCH('[1]Lists and Calcs (Hidden)'!AJ52,'[1]Lists and Calcs (Hidden)'!$AB$34:$AB$732,0))
))</f>
        <v>Source of residual risks: Zero-days, insider threat, criticality of shared storage, ransomware attacks on shared storage.</v>
      </c>
      <c r="Z28" s="95"/>
      <c r="AA28" s="96"/>
      <c r="AB28" s="85"/>
      <c r="AC28" s="86"/>
      <c r="AD28" s="87" t="str">
        <f>IFERROR(IF('[1]2. Prepare'!$O$50="Quantitative",INDEX('[1]Lists and Calcs (Hidden)'!$M$12:$Q$16,MATCH('[1]6. Risk Register Integration'!AB28,'[1]Lists and Calcs (Hidden)'!$K$12:$K$16,0),MATCH('[1]6. Risk Register Integration'!AC28,'[1]Lists and Calcs (Hidden)'!$M$10:$Q$10,0)),INDEX('[1]Lists and Calcs (Hidden)'!$Z$12:$AD$16,MATCH('[1]6. Risk Register Integration'!AB28,'[1]Lists and Calcs (Hidden)'!$X$12:$X$16,0),MATCH('[1]6. Risk Register Integration'!AC28,'[1]Lists and Calcs (Hidden)'!$Z$10:$AD$10,0))),"")</f>
        <v/>
      </c>
      <c r="AE28" s="54"/>
      <c r="AF28" s="4"/>
      <c r="AG28" s="4"/>
    </row>
    <row r="29" spans="2:33" ht="330" customHeight="1" x14ac:dyDescent="0.2">
      <c r="B29" s="97"/>
      <c r="C29" s="89" t="str">
        <f>IF('[1]Lists and Calcs (Hidden)'!AJ53="","",
                    IF(INDEX('[1]5. Assess Risks'!$B$6:$B$704,MATCH('[1]Lists and Calcs (Hidden)'!AJ53,'[1]Lists and Calcs (Hidden)'!$AB$34:$AB$732,0))="","",
                                    INDEX('[1]5. Assess Risks'!$B$6:$B$704,MATCH('[1]Lists and Calcs (Hidden)'!AJ53,'[1]Lists and Calcs (Hidden)'!$AB$34:$AB$732,0))
))</f>
        <v>TRA1.28 - ERP System - An attacker gains access to a backup system and encrypts the stored backups. This renders the backups unusable, hindering the organization's ability to recover data in case of a system outage or attack. The attacker might then demand a ransom payment to decrypt the backups.</v>
      </c>
      <c r="D29" s="90">
        <f>IF(C29="", "", '[1]2. Prepare'!$E$6)</f>
        <v>45033</v>
      </c>
      <c r="E29" s="91"/>
      <c r="F29" s="91"/>
      <c r="G29" s="91"/>
      <c r="H29" s="91"/>
      <c r="I29" s="89" t="str">
        <f>IF('[1]Lists and Calcs (Hidden)'!AJ53="","",
                    IF(INDEX('[1]5. Assess Risks'!$D$6:$D$704,MATCH('[1]Lists and Calcs (Hidden)'!AJ53,'[1]Lists and Calcs (Hidden)'!$AB$34:$AB$732,0))="","",
                                    INDEX('[1]5. Assess Risks'!$D$6:$D$704,MATCH('[1]Lists and Calcs (Hidden)'!AJ53,'[1]Lists and Calcs (Hidden)'!$AB$34:$AB$732,0))
))</f>
        <v>WAF, Email Filtering, Vulnerability Management Program, Application Safelisting, Security Awareness Training Program, Phishing Simulations, Firewall, Endpoint Detection and Response, Intrusion Detection and Protection, Data Loss Prevention.</v>
      </c>
      <c r="J29" s="91"/>
      <c r="K29" s="91"/>
      <c r="L29" s="91"/>
      <c r="M29" s="91"/>
      <c r="N29" s="91"/>
      <c r="O29" s="91"/>
      <c r="P29" s="92" t="str">
        <f>IF('[1]Lists and Calcs (Hidden)'!AJ53="","",
                    IF(INDEX('[1]5. Assess Risks'!$G$6:$G$704,MATCH('[1]Lists and Calcs (Hidden)'!AJ53,'[1]Lists and Calcs (Hidden)'!$AB$34:$AB$732,0))="","",
                                    INDEX('[1]5. Assess Risks'!$G$6:$G$704,MATCH('[1]Lists and Calcs (Hidden)'!AJ53,'[1]Lists and Calcs (Hidden)'!$AB$34:$AB$732,0))
))</f>
        <v>Unlikely</v>
      </c>
      <c r="Q29" s="92" t="str">
        <f>IF('[1]Lists and Calcs (Hidden)'!AJ53="","",
                    IF(INDEX('[1]5. Assess Risks'!$H$6:$H$704,MATCH('[1]Lists and Calcs (Hidden)'!AJ53,'[1]Lists and Calcs (Hidden)'!$AB$34:$AB$732,0))="","",
                                    INDEX('[1]5. Assess Risks'!$H$6:$H$704,MATCH('[1]Lists and Calcs (Hidden)'!AJ53,'[1]Lists and Calcs (Hidden)'!$AB$34:$AB$732,0))
))</f>
        <v>Moderate</v>
      </c>
      <c r="R29" s="93" t="str">
        <f>IFERROR(IF('[1]2. Prepare'!$O$50="Quantitative",INDEX('[1]Lists and Calcs (Hidden)'!$M$12:$Q$16,MATCH('[1]6. Risk Register Integration'!P29,'[1]Lists and Calcs (Hidden)'!$K$12:$K$16,0),MATCH('[1]6. Risk Register Integration'!Q29,'[1]Lists and Calcs (Hidden)'!$M$10:$Q$10,0)),INDEX('[1]Lists and Calcs (Hidden)'!$Z$12:$AD$16,MATCH('[1]6. Risk Register Integration'!P29,'[1]Lists and Calcs (Hidden)'!$X$12:$X$16,0),MATCH('[1]6. Risk Register Integration'!Q29,'[1]Lists and Calcs (Hidden)'!$Z$10:$AD$10,0))),"")</f>
        <v>Medium</v>
      </c>
      <c r="S29" s="94" t="str">
        <f>IF('[1]Lists and Calcs (Hidden)'!AJ53="","",
                    IF(INDEX('[1]5. Assess Risks'!$J$6:$J$704,MATCH('[1]Lists and Calcs (Hidden)'!AJ53,'[1]Lists and Calcs (Hidden)'!$AB$34:$AB$732,0))="","",
                                    INDEX('[1]5. Assess Risks'!$J$6:$J$704,MATCH('[1]Lists and Calcs (Hidden)'!AJ53,'[1]Lists and Calcs (Hidden)'!$AB$34:$AB$732,0))
))</f>
        <v>No New Actions Needed</v>
      </c>
      <c r="T29" s="102"/>
      <c r="U29" s="105"/>
      <c r="V29" s="106"/>
      <c r="W29" s="105"/>
      <c r="X29" s="105"/>
      <c r="Y29" s="89" t="str">
        <f>IF('[1]Lists and Calcs (Hidden)'!AJ53="","",
                    IF(INDEX('[1]5. Assess Risks'!$L$6:$L$704,MATCH('[1]Lists and Calcs (Hidden)'!AJ53,'[1]Lists and Calcs (Hidden)'!$AB$34:$AB$732,0))="","",
                                    INDEX('[1]5. Assess Risks'!$L$6:$L$704,MATCH('[1]Lists and Calcs (Hidden)'!AJ53,'[1]Lists and Calcs (Hidden)'!$AB$34:$AB$732,0))
))</f>
        <v>Source of residual risks: Zero-days, skilled adversaries, insider threats.</v>
      </c>
      <c r="Z29" s="95"/>
      <c r="AA29" s="96"/>
      <c r="AB29" s="85"/>
      <c r="AC29" s="86"/>
      <c r="AD29" s="87" t="str">
        <f>IFERROR(IF('[1]2. Prepare'!$O$50="Quantitative",INDEX('[1]Lists and Calcs (Hidden)'!$M$12:$Q$16,MATCH('[1]6. Risk Register Integration'!AB29,'[1]Lists and Calcs (Hidden)'!$K$12:$K$16,0),MATCH('[1]6. Risk Register Integration'!AC29,'[1]Lists and Calcs (Hidden)'!$M$10:$Q$10,0)),INDEX('[1]Lists and Calcs (Hidden)'!$Z$12:$AD$16,MATCH('[1]6. Risk Register Integration'!AB29,'[1]Lists and Calcs (Hidden)'!$X$12:$X$16,0),MATCH('[1]6. Risk Register Integration'!AC29,'[1]Lists and Calcs (Hidden)'!$Z$10:$AD$10,0))),"")</f>
        <v/>
      </c>
      <c r="AE29" s="54"/>
      <c r="AF29" s="4"/>
      <c r="AG29" s="4"/>
    </row>
    <row r="30" spans="2:33" ht="330" customHeight="1" x14ac:dyDescent="0.2">
      <c r="B30" s="97"/>
      <c r="C30" s="98" t="str">
        <f>IF('[1]Lists and Calcs (Hidden)'!AJ54="","",
                    IF(INDEX('[1]5. Assess Risks'!$B$6:$B$704,MATCH('[1]Lists and Calcs (Hidden)'!AJ54,'[1]Lists and Calcs (Hidden)'!$AB$34:$AB$732,0))="","",
                                    INDEX('[1]5. Assess Risks'!$B$6:$B$704,MATCH('[1]Lists and Calcs (Hidden)'!AJ54,'[1]Lists and Calcs (Hidden)'!$AB$34:$AB$732,0))
))</f>
        <v>TRA1.29 - ERP System - Operating systems are prime targets for reconnaissance in MITRE ATT&amp;CK. Attackers can use various tools and techniques to identify vulnerabilities, enumerate system info, discover user accounts, or find interesting files/applications to target later attacks.</v>
      </c>
      <c r="D30" s="90">
        <f>IF(C30="", "", '[1]2. Prepare'!$E$6)</f>
        <v>45033</v>
      </c>
      <c r="E30" s="91"/>
      <c r="F30" s="91"/>
      <c r="G30" s="91"/>
      <c r="H30" s="91"/>
      <c r="I30" s="98" t="str">
        <f>IF('[1]Lists and Calcs (Hidden)'!AJ54="","",
                    IF(INDEX('[1]5. Assess Risks'!$D$6:$D$704,MATCH('[1]Lists and Calcs (Hidden)'!AJ54,'[1]Lists and Calcs (Hidden)'!$AB$34:$AB$732,0))="","",
                                    INDEX('[1]5. Assess Risks'!$D$6:$D$704,MATCH('[1]Lists and Calcs (Hidden)'!AJ54,'[1]Lists and Calcs (Hidden)'!$AB$34:$AB$732,0))
))</f>
        <v>WAF, Email Filtering, Vulnerability Management Program, Application Safelisting, Security Awareness Training Program, Phishing Simulations, Firewall, Endpoint Detection and Response, Intrusion Detection and Protection, Data Loss Prevention.</v>
      </c>
      <c r="J30" s="91"/>
      <c r="K30" s="91"/>
      <c r="L30" s="91"/>
      <c r="M30" s="91"/>
      <c r="N30" s="91"/>
      <c r="O30" s="91"/>
      <c r="P30" s="99" t="str">
        <f>IF('[1]Lists and Calcs (Hidden)'!AJ54="","",
                    IF(INDEX('[1]5. Assess Risks'!$G$6:$G$704,MATCH('[1]Lists and Calcs (Hidden)'!AJ54,'[1]Lists and Calcs (Hidden)'!$AB$34:$AB$732,0))="","",
                                    INDEX('[1]5. Assess Risks'!$G$6:$G$704,MATCH('[1]Lists and Calcs (Hidden)'!AJ54,'[1]Lists and Calcs (Hidden)'!$AB$34:$AB$732,0))
))</f>
        <v>Possible</v>
      </c>
      <c r="Q30" s="99" t="str">
        <f>IF('[1]Lists and Calcs (Hidden)'!AJ54="","",
                    IF(INDEX('[1]5. Assess Risks'!$H$6:$H$704,MATCH('[1]Lists and Calcs (Hidden)'!AJ54,'[1]Lists and Calcs (Hidden)'!$AB$34:$AB$732,0))="","",
                                    INDEX('[1]5. Assess Risks'!$H$6:$H$704,MATCH('[1]Lists and Calcs (Hidden)'!AJ54,'[1]Lists and Calcs (Hidden)'!$AB$34:$AB$732,0))
))</f>
        <v>Major</v>
      </c>
      <c r="R30" s="100" t="str">
        <f>IFERROR(IF('[1]2. Prepare'!$O$50="Quantitative",INDEX('[1]Lists and Calcs (Hidden)'!$M$12:$Q$16,MATCH('[1]6. Risk Register Integration'!P30,'[1]Lists and Calcs (Hidden)'!$K$12:$K$16,0),MATCH('[1]6. Risk Register Integration'!Q30,'[1]Lists and Calcs (Hidden)'!$M$10:$Q$10,0)),INDEX('[1]Lists and Calcs (Hidden)'!$Z$12:$AD$16,MATCH('[1]6. Risk Register Integration'!P30,'[1]Lists and Calcs (Hidden)'!$X$12:$X$16,0),MATCH('[1]6. Risk Register Integration'!Q30,'[1]Lists and Calcs (Hidden)'!$Z$10:$AD$10,0))),"")</f>
        <v>Medium</v>
      </c>
      <c r="S30" s="101" t="str">
        <f>IF('[1]Lists and Calcs (Hidden)'!AJ54="","",
                    IF(INDEX('[1]5. Assess Risks'!$J$6:$J$704,MATCH('[1]Lists and Calcs (Hidden)'!AJ54,'[1]Lists and Calcs (Hidden)'!$AB$34:$AB$732,0))="","",
                                    INDEX('[1]5. Assess Risks'!$J$6:$J$704,MATCH('[1]Lists and Calcs (Hidden)'!AJ54,'[1]Lists and Calcs (Hidden)'!$AB$34:$AB$732,0))
))</f>
        <v>Formally Accept the Risk</v>
      </c>
      <c r="T30" s="102"/>
      <c r="U30" s="105"/>
      <c r="V30" s="106"/>
      <c r="W30" s="105"/>
      <c r="X30" s="105"/>
      <c r="Y30" s="98" t="str">
        <f>IF('[1]Lists and Calcs (Hidden)'!AJ54="","",
                    IF(INDEX('[1]5. Assess Risks'!$L$6:$L$704,MATCH('[1]Lists and Calcs (Hidden)'!AJ54,'[1]Lists and Calcs (Hidden)'!$AB$34:$AB$732,0))="","",
                                    INDEX('[1]5. Assess Risks'!$L$6:$L$704,MATCH('[1]Lists and Calcs (Hidden)'!AJ54,'[1]Lists and Calcs (Hidden)'!$AB$34:$AB$732,0))
))</f>
        <v>Source of residual risk: Zero-days, skilled adversaries, insider threats, misconfigurations, credential storage.</v>
      </c>
      <c r="Z30" s="95"/>
      <c r="AA30" s="96"/>
      <c r="AB30" s="85"/>
      <c r="AC30" s="86"/>
      <c r="AD30" s="87" t="str">
        <f>IFERROR(IF('[1]2. Prepare'!$O$50="Quantitative",INDEX('[1]Lists and Calcs (Hidden)'!$M$12:$Q$16,MATCH('[1]6. Risk Register Integration'!AB30,'[1]Lists and Calcs (Hidden)'!$K$12:$K$16,0),MATCH('[1]6. Risk Register Integration'!AC30,'[1]Lists and Calcs (Hidden)'!$M$10:$Q$10,0)),INDEX('[1]Lists and Calcs (Hidden)'!$Z$12:$AD$16,MATCH('[1]6. Risk Register Integration'!AB30,'[1]Lists and Calcs (Hidden)'!$X$12:$X$16,0),MATCH('[1]6. Risk Register Integration'!AC30,'[1]Lists and Calcs (Hidden)'!$Z$10:$AD$10,0))),"")</f>
        <v/>
      </c>
      <c r="AE30" s="54"/>
      <c r="AF30" s="4"/>
      <c r="AG30" s="4"/>
    </row>
    <row r="31" spans="2:33" ht="330" customHeight="1" x14ac:dyDescent="0.2">
      <c r="B31" s="88"/>
      <c r="C31" s="89" t="str">
        <f>IF('[1]Lists and Calcs (Hidden)'!AJ55="","",
                    IF(INDEX('[1]5. Assess Risks'!$B$6:$B$704,MATCH('[1]Lists and Calcs (Hidden)'!AJ55,'[1]Lists and Calcs (Hidden)'!$AB$34:$AB$732,0))="","",
                                    INDEX('[1]5. Assess Risks'!$B$6:$B$704,MATCH('[1]Lists and Calcs (Hidden)'!AJ55,'[1]Lists and Calcs (Hidden)'!$AB$34:$AB$732,0))
))</f>
        <v>TRA1.30 - ERP System - Attackers can exploit vulnerabilities in the OS or applications to abuse the OS's functionalities (scripting, scheduled tasks) or gain a foothold (malware installation, resource hijacking) for further attacks.</v>
      </c>
      <c r="D31" s="90">
        <f>IF(C31="", "", '[1]2. Prepare'!$E$6)</f>
        <v>45033</v>
      </c>
      <c r="E31" s="91"/>
      <c r="F31" s="91"/>
      <c r="G31" s="91"/>
      <c r="H31" s="91"/>
      <c r="I31" s="89" t="str">
        <f>IF('[1]Lists and Calcs (Hidden)'!AJ55="","",
                    IF(INDEX('[1]5. Assess Risks'!$D$6:$D$704,MATCH('[1]Lists and Calcs (Hidden)'!AJ55,'[1]Lists and Calcs (Hidden)'!$AB$34:$AB$732,0))="","",
                                    INDEX('[1]5. Assess Risks'!$D$6:$D$704,MATCH('[1]Lists and Calcs (Hidden)'!AJ55,'[1]Lists and Calcs (Hidden)'!$AB$34:$AB$732,0))
))</f>
        <v>WAF, Email Filtering, Vulnerability Management Program, Application Safelisting, Security Awareness Training Program, Phishing Simulations, Firewall, Endpoint Detection and Response, Intrusion Detection and Protection, Data Loss Prevention.</v>
      </c>
      <c r="J31" s="91"/>
      <c r="K31" s="91"/>
      <c r="L31" s="91"/>
      <c r="M31" s="91"/>
      <c r="N31" s="91"/>
      <c r="O31" s="91"/>
      <c r="P31" s="92" t="str">
        <f>IF('[1]Lists and Calcs (Hidden)'!AJ55="","",
                    IF(INDEX('[1]5. Assess Risks'!$G$6:$G$704,MATCH('[1]Lists and Calcs (Hidden)'!AJ55,'[1]Lists and Calcs (Hidden)'!$AB$34:$AB$732,0))="","",
                                    INDEX('[1]5. Assess Risks'!$G$6:$G$704,MATCH('[1]Lists and Calcs (Hidden)'!AJ55,'[1]Lists and Calcs (Hidden)'!$AB$34:$AB$732,0))
))</f>
        <v>Unlikely</v>
      </c>
      <c r="Q31" s="92" t="str">
        <f>IF('[1]Lists and Calcs (Hidden)'!AJ55="","",
                    IF(INDEX('[1]5. Assess Risks'!$H$6:$H$704,MATCH('[1]Lists and Calcs (Hidden)'!AJ55,'[1]Lists and Calcs (Hidden)'!$AB$34:$AB$732,0))="","",
                                    INDEX('[1]5. Assess Risks'!$H$6:$H$704,MATCH('[1]Lists and Calcs (Hidden)'!AJ55,'[1]Lists and Calcs (Hidden)'!$AB$34:$AB$732,0))
))</f>
        <v>Catastrophic</v>
      </c>
      <c r="R31" s="93" t="str">
        <f>IFERROR(IF('[1]2. Prepare'!$O$50="Quantitative",INDEX('[1]Lists and Calcs (Hidden)'!$M$12:$Q$16,MATCH('[1]6. Risk Register Integration'!P31,'[1]Lists and Calcs (Hidden)'!$K$12:$K$16,0),MATCH('[1]6. Risk Register Integration'!Q31,'[1]Lists and Calcs (Hidden)'!$M$10:$Q$10,0)),INDEX('[1]Lists and Calcs (Hidden)'!$Z$12:$AD$16,MATCH('[1]6. Risk Register Integration'!P31,'[1]Lists and Calcs (Hidden)'!$X$12:$X$16,0),MATCH('[1]6. Risk Register Integration'!Q31,'[1]Lists and Calcs (Hidden)'!$Z$10:$AD$10,0))),"")</f>
        <v>Medium</v>
      </c>
      <c r="S31" s="94" t="str">
        <f>IF('[1]Lists and Calcs (Hidden)'!AJ55="","",
                    IF(INDEX('[1]5. Assess Risks'!$J$6:$J$704,MATCH('[1]Lists and Calcs (Hidden)'!AJ55,'[1]Lists and Calcs (Hidden)'!$AB$34:$AB$732,0))="","",
                                    INDEX('[1]5. Assess Risks'!$J$6:$J$704,MATCH('[1]Lists and Calcs (Hidden)'!AJ55,'[1]Lists and Calcs (Hidden)'!$AB$34:$AB$732,0))
))</f>
        <v>No New Actions Needed</v>
      </c>
      <c r="T31" s="102"/>
      <c r="U31" s="105"/>
      <c r="V31" s="106"/>
      <c r="W31" s="105"/>
      <c r="X31" s="105"/>
      <c r="Y31" s="89" t="str">
        <f>IF('[1]Lists and Calcs (Hidden)'!AJ55="","",
                    IF(INDEX('[1]5. Assess Risks'!$L$6:$L$704,MATCH('[1]Lists and Calcs (Hidden)'!AJ55,'[1]Lists and Calcs (Hidden)'!$AB$34:$AB$732,0))="","",
                                    INDEX('[1]5. Assess Risks'!$L$6:$L$704,MATCH('[1]Lists and Calcs (Hidden)'!AJ55,'[1]Lists and Calcs (Hidden)'!$AB$34:$AB$732,0))
))</f>
        <v>Source of residual risks: Zero-days, skilled adversaries, insider threats.</v>
      </c>
      <c r="Z31" s="95"/>
      <c r="AA31" s="96"/>
      <c r="AB31" s="85"/>
      <c r="AC31" s="86"/>
      <c r="AD31" s="87" t="str">
        <f>IFERROR(IF('[1]2. Prepare'!$O$50="Quantitative",INDEX('[1]Lists and Calcs (Hidden)'!$M$12:$Q$16,MATCH('[1]6. Risk Register Integration'!AB31,'[1]Lists and Calcs (Hidden)'!$K$12:$K$16,0),MATCH('[1]6. Risk Register Integration'!AC31,'[1]Lists and Calcs (Hidden)'!$M$10:$Q$10,0)),INDEX('[1]Lists and Calcs (Hidden)'!$Z$12:$AD$16,MATCH('[1]6. Risk Register Integration'!AB31,'[1]Lists and Calcs (Hidden)'!$X$12:$X$16,0),MATCH('[1]6. Risk Register Integration'!AC31,'[1]Lists and Calcs (Hidden)'!$Z$10:$AD$10,0))),"")</f>
        <v/>
      </c>
      <c r="AE31" s="54"/>
      <c r="AF31" s="4"/>
      <c r="AG31" s="4"/>
    </row>
    <row r="32" spans="2:33" ht="330" customHeight="1" x14ac:dyDescent="0.2">
      <c r="B32" s="97"/>
      <c r="C32" s="98" t="str">
        <f>IF('[1]Lists and Calcs (Hidden)'!AJ56="","",
                    IF(INDEX('[1]5. Assess Risks'!$B$6:$B$704,MATCH('[1]Lists and Calcs (Hidden)'!AJ56,'[1]Lists and Calcs (Hidden)'!$AB$34:$AB$732,0))="","",
                                    INDEX('[1]5. Assess Risks'!$B$6:$B$704,MATCH('[1]Lists and Calcs (Hidden)'!AJ56,'[1]Lists and Calcs (Hidden)'!$AB$34:$AB$732,0))
))</f>
        <v>TRA1.32 - ERP System - An attacker discovers a vulnerability in a system service within the operating system. This vulnerability allows them to remotely execute arbitrary code (RCE) on the targeted machine. By exploiting this vulnerability, the attacker gains unauthorized access to the system, potentially compromising sensitive data or installing additional malware.</v>
      </c>
      <c r="D32" s="90">
        <f>IF(C32="", "", '[1]2. Prepare'!$E$6)</f>
        <v>45033</v>
      </c>
      <c r="E32" s="91"/>
      <c r="F32" s="91"/>
      <c r="G32" s="91"/>
      <c r="H32" s="91"/>
      <c r="I32" s="98" t="str">
        <f>IF('[1]Lists and Calcs (Hidden)'!AJ56="","",
                    IF(INDEX('[1]5. Assess Risks'!$D$6:$D$704,MATCH('[1]Lists and Calcs (Hidden)'!AJ56,'[1]Lists and Calcs (Hidden)'!$AB$34:$AB$732,0))="","",
                                    INDEX('[1]5. Assess Risks'!$D$6:$D$704,MATCH('[1]Lists and Calcs (Hidden)'!AJ56,'[1]Lists and Calcs (Hidden)'!$AB$34:$AB$732,0))
))</f>
        <v>WAF, Email Filtering, Vulnerability Management Program, Application Safelisting, Security Awareness Training Program, Phishing Simulations, Firewall, Endpoint Detection and Response, Intrusion Detection and Protection, Data Loss Prevention.</v>
      </c>
      <c r="J32" s="91"/>
      <c r="K32" s="91"/>
      <c r="L32" s="91"/>
      <c r="M32" s="91"/>
      <c r="N32" s="91"/>
      <c r="O32" s="91"/>
      <c r="P32" s="99" t="str">
        <f>IF('[1]Lists and Calcs (Hidden)'!AJ56="","",
                    IF(INDEX('[1]5. Assess Risks'!$G$6:$G$704,MATCH('[1]Lists and Calcs (Hidden)'!AJ56,'[1]Lists and Calcs (Hidden)'!$AB$34:$AB$732,0))="","",
                                    INDEX('[1]5. Assess Risks'!$G$6:$G$704,MATCH('[1]Lists and Calcs (Hidden)'!AJ56,'[1]Lists and Calcs (Hidden)'!$AB$34:$AB$732,0))
))</f>
        <v>Unlikely</v>
      </c>
      <c r="Q32" s="99" t="str">
        <f>IF('[1]Lists and Calcs (Hidden)'!AJ56="","",
                    IF(INDEX('[1]5. Assess Risks'!$H$6:$H$704,MATCH('[1]Lists and Calcs (Hidden)'!AJ56,'[1]Lists and Calcs (Hidden)'!$AB$34:$AB$732,0))="","",
                                    INDEX('[1]5. Assess Risks'!$H$6:$H$704,MATCH('[1]Lists and Calcs (Hidden)'!AJ56,'[1]Lists and Calcs (Hidden)'!$AB$34:$AB$732,0))
))</f>
        <v>Catastrophic</v>
      </c>
      <c r="R32" s="100" t="str">
        <f>IFERROR(IF('[1]2. Prepare'!$O$50="Quantitative",INDEX('[1]Lists and Calcs (Hidden)'!$M$12:$Q$16,MATCH('[1]6. Risk Register Integration'!P32,'[1]Lists and Calcs (Hidden)'!$K$12:$K$16,0),MATCH('[1]6. Risk Register Integration'!Q32,'[1]Lists and Calcs (Hidden)'!$M$10:$Q$10,0)),INDEX('[1]Lists and Calcs (Hidden)'!$Z$12:$AD$16,MATCH('[1]6. Risk Register Integration'!P32,'[1]Lists and Calcs (Hidden)'!$X$12:$X$16,0),MATCH('[1]6. Risk Register Integration'!Q32,'[1]Lists and Calcs (Hidden)'!$Z$10:$AD$10,0))),"")</f>
        <v>Medium</v>
      </c>
      <c r="S32" s="101" t="str">
        <f>IF('[1]Lists and Calcs (Hidden)'!AJ56="","",
                    IF(INDEX('[1]5. Assess Risks'!$J$6:$J$704,MATCH('[1]Lists and Calcs (Hidden)'!AJ56,'[1]Lists and Calcs (Hidden)'!$AB$34:$AB$732,0))="","",
                                    INDEX('[1]5. Assess Risks'!$J$6:$J$704,MATCH('[1]Lists and Calcs (Hidden)'!AJ56,'[1]Lists and Calcs (Hidden)'!$AB$34:$AB$732,0))
))</f>
        <v>No New Actions Needed</v>
      </c>
      <c r="T32" s="102"/>
      <c r="U32" s="105"/>
      <c r="V32" s="106"/>
      <c r="W32" s="105"/>
      <c r="X32" s="105"/>
      <c r="Y32" s="98" t="str">
        <f>IF('[1]Lists and Calcs (Hidden)'!AJ56="","",
                    IF(INDEX('[1]5. Assess Risks'!$L$6:$L$704,MATCH('[1]Lists and Calcs (Hidden)'!AJ56,'[1]Lists and Calcs (Hidden)'!$AB$34:$AB$732,0))="","",
                                    INDEX('[1]5. Assess Risks'!$L$6:$L$704,MATCH('[1]Lists and Calcs (Hidden)'!AJ56,'[1]Lists and Calcs (Hidden)'!$AB$34:$AB$732,0))
))</f>
        <v>Source of residual risk: Ransomware, skilled attackers, insider threats, accidental misconfiguration.
Potential additional controls: Network segmentation, least privilege on backup accounts, immutable backups, monitor backup integrity.</v>
      </c>
      <c r="Z32" s="95"/>
      <c r="AA32" s="96"/>
      <c r="AB32" s="85"/>
      <c r="AC32" s="86"/>
      <c r="AD32" s="87" t="str">
        <f>IFERROR(IF('[1]2. Prepare'!$O$50="Quantitative",INDEX('[1]Lists and Calcs (Hidden)'!$M$12:$Q$16,MATCH('[1]6. Risk Register Integration'!AB32,'[1]Lists and Calcs (Hidden)'!$K$12:$K$16,0),MATCH('[1]6. Risk Register Integration'!AC32,'[1]Lists and Calcs (Hidden)'!$M$10:$Q$10,0)),INDEX('[1]Lists and Calcs (Hidden)'!$Z$12:$AD$16,MATCH('[1]6. Risk Register Integration'!AB32,'[1]Lists and Calcs (Hidden)'!$X$12:$X$16,0),MATCH('[1]6. Risk Register Integration'!AC32,'[1]Lists and Calcs (Hidden)'!$Z$10:$AD$10,0))),"")</f>
        <v/>
      </c>
      <c r="AE32" s="54"/>
      <c r="AF32" s="4"/>
      <c r="AG32" s="4"/>
    </row>
    <row r="33" spans="2:33" ht="330" customHeight="1" x14ac:dyDescent="0.2">
      <c r="B33" s="88"/>
      <c r="C33" s="89" t="str">
        <f>IF('[1]Lists and Calcs (Hidden)'!AJ57="","",
                    IF(INDEX('[1]5. Assess Risks'!$B$6:$B$704,MATCH('[1]Lists and Calcs (Hidden)'!AJ57,'[1]Lists and Calcs (Hidden)'!$AB$34:$AB$732,0))="","",
                                    INDEX('[1]5. Assess Risks'!$B$6:$B$704,MATCH('[1]Lists and Calcs (Hidden)'!AJ57,'[1]Lists and Calcs (Hidden)'!$AB$34:$AB$732,0))
))</f>
        <v>TRA1.33 - ERP System - Malware modifies core operating system boot processes to ensure its own execution upon every system startup. This establishes persistence by giving the malware a foothold even after a system reboot, making it harder to remove and increasing its chances of evading detection.</v>
      </c>
      <c r="D33" s="90">
        <f>IF(C33="", "", '[1]2. Prepare'!$E$6)</f>
        <v>45033</v>
      </c>
      <c r="E33" s="91"/>
      <c r="F33" s="91"/>
      <c r="G33" s="91"/>
      <c r="H33" s="91"/>
      <c r="I33" s="89" t="str">
        <f>IF('[1]Lists and Calcs (Hidden)'!AJ57="","",
                    IF(INDEX('[1]5. Assess Risks'!$D$6:$D$704,MATCH('[1]Lists and Calcs (Hidden)'!AJ57,'[1]Lists and Calcs (Hidden)'!$AB$34:$AB$732,0))="","",
                                    INDEX('[1]5. Assess Risks'!$D$6:$D$704,MATCH('[1]Lists and Calcs (Hidden)'!AJ57,'[1]Lists and Calcs (Hidden)'!$AB$34:$AB$732,0))
))</f>
        <v>WAF, Email Filtering, Vulnerability Management Program, Application Safelisting, Security Awareness Training Program, Phishing Simulations, Firewall, Endpoint Detection and Response, Intrusion Detection and Protection, Data Loss Prevention.</v>
      </c>
      <c r="J33" s="91"/>
      <c r="K33" s="91"/>
      <c r="L33" s="91"/>
      <c r="M33" s="91"/>
      <c r="N33" s="91"/>
      <c r="O33" s="91"/>
      <c r="P33" s="92" t="str">
        <f>IF('[1]Lists and Calcs (Hidden)'!AJ57="","",
                    IF(INDEX('[1]5. Assess Risks'!$G$6:$G$704,MATCH('[1]Lists and Calcs (Hidden)'!AJ57,'[1]Lists and Calcs (Hidden)'!$AB$34:$AB$732,0))="","",
                                    INDEX('[1]5. Assess Risks'!$G$6:$G$704,MATCH('[1]Lists and Calcs (Hidden)'!AJ57,'[1]Lists and Calcs (Hidden)'!$AB$34:$AB$732,0))
))</f>
        <v>Possible</v>
      </c>
      <c r="Q33" s="92" t="str">
        <f>IF('[1]Lists and Calcs (Hidden)'!AJ57="","",
                    IF(INDEX('[1]5. Assess Risks'!$H$6:$H$704,MATCH('[1]Lists and Calcs (Hidden)'!AJ57,'[1]Lists and Calcs (Hidden)'!$AB$34:$AB$732,0))="","",
                                    INDEX('[1]5. Assess Risks'!$H$6:$H$704,MATCH('[1]Lists and Calcs (Hidden)'!AJ57,'[1]Lists and Calcs (Hidden)'!$AB$34:$AB$732,0))
))</f>
        <v>Catastrophic</v>
      </c>
      <c r="R33" s="93" t="str">
        <f>IFERROR(IF('[1]2. Prepare'!$O$50="Quantitative",INDEX('[1]Lists and Calcs (Hidden)'!$M$12:$Q$16,MATCH('[1]6. Risk Register Integration'!P33,'[1]Lists and Calcs (Hidden)'!$K$12:$K$16,0),MATCH('[1]6. Risk Register Integration'!Q33,'[1]Lists and Calcs (Hidden)'!$M$10:$Q$10,0)),INDEX('[1]Lists and Calcs (Hidden)'!$Z$12:$AD$16,MATCH('[1]6. Risk Register Integration'!P33,'[1]Lists and Calcs (Hidden)'!$X$12:$X$16,0),MATCH('[1]6. Risk Register Integration'!Q33,'[1]Lists and Calcs (Hidden)'!$Z$10:$AD$10,0))),"")</f>
        <v>High</v>
      </c>
      <c r="S33" s="94" t="str">
        <f>IF('[1]Lists and Calcs (Hidden)'!AJ57="","",
                    IF(INDEX('[1]5. Assess Risks'!$J$6:$J$704,MATCH('[1]Lists and Calcs (Hidden)'!AJ57,'[1]Lists and Calcs (Hidden)'!$AB$34:$AB$732,0))="","",
                                    INDEX('[1]5. Assess Risks'!$J$6:$J$704,MATCH('[1]Lists and Calcs (Hidden)'!AJ57,'[1]Lists and Calcs (Hidden)'!$AB$34:$AB$732,0))
))</f>
        <v>Mitigate the Risk</v>
      </c>
      <c r="T33" s="102"/>
      <c r="U33" s="105"/>
      <c r="V33" s="106"/>
      <c r="W33" s="105"/>
      <c r="X33" s="105"/>
      <c r="Y33" s="89" t="str">
        <f>IF('[1]Lists and Calcs (Hidden)'!AJ57="","",
                    IF(INDEX('[1]5. Assess Risks'!$L$6:$L$704,MATCH('[1]Lists and Calcs (Hidden)'!AJ57,'[1]Lists and Calcs (Hidden)'!$AB$34:$AB$732,0))="","",
                                    INDEX('[1]5. Assess Risks'!$L$6:$L$704,MATCH('[1]Lists and Calcs (Hidden)'!AJ57,'[1]Lists and Calcs (Hidden)'!$AB$34:$AB$732,0))
))</f>
        <v>Source of residual risk: ransomware, skilled attackers, insider threats, accidental misconfiguration.
Potential additional controls: Network segmentation, least privilege on backup accounts, immutable backups, monitor backup integrity.</v>
      </c>
      <c r="Z33" s="95"/>
      <c r="AA33" s="96"/>
      <c r="AB33" s="85"/>
      <c r="AC33" s="86"/>
      <c r="AD33" s="87" t="str">
        <f>IFERROR(IF('[1]2. Prepare'!$O$50="Quantitative",INDEX('[1]Lists and Calcs (Hidden)'!$M$12:$Q$16,MATCH('[1]6. Risk Register Integration'!AB33,'[1]Lists and Calcs (Hidden)'!$K$12:$K$16,0),MATCH('[1]6. Risk Register Integration'!AC33,'[1]Lists and Calcs (Hidden)'!$M$10:$Q$10,0)),INDEX('[1]Lists and Calcs (Hidden)'!$Z$12:$AD$16,MATCH('[1]6. Risk Register Integration'!AB33,'[1]Lists and Calcs (Hidden)'!$X$12:$X$16,0),MATCH('[1]6. Risk Register Integration'!AC33,'[1]Lists and Calcs (Hidden)'!$Z$10:$AD$10,0))),"")</f>
        <v/>
      </c>
      <c r="AE33" s="54"/>
      <c r="AF33" s="4"/>
      <c r="AG33" s="4"/>
    </row>
    <row r="34" spans="2:33" ht="330" customHeight="1" x14ac:dyDescent="0.2">
      <c r="B34" s="97"/>
      <c r="C34" s="98" t="str">
        <f>IF('[1]Lists and Calcs (Hidden)'!AJ58="","",
                    IF(INDEX('[1]5. Assess Risks'!$B$6:$B$704,MATCH('[1]Lists and Calcs (Hidden)'!AJ58,'[1]Lists and Calcs (Hidden)'!$AB$34:$AB$732,0))="","",
                                    INDEX('[1]5. Assess Risks'!$B$6:$B$704,MATCH('[1]Lists and Calcs (Hidden)'!AJ58,'[1]Lists and Calcs (Hidden)'!$AB$34:$AB$732,0))
))</f>
        <v>TRA1.34 - ERP System - An attacker exploits a vulnerability within the operating system to elevate their privileges from a standard user to an administrator. This could involve compromising a system service or kernel driver with higher permissions than the user account initially compromised. By gaining administrative privileges, the attacker can bypass security restrictions, install additional malware, or tamper with system configurations.</v>
      </c>
      <c r="D34" s="90">
        <f>IF(C34="", "", '[1]2. Prepare'!$E$6)</f>
        <v>45033</v>
      </c>
      <c r="E34" s="91"/>
      <c r="F34" s="91"/>
      <c r="G34" s="91"/>
      <c r="H34" s="91"/>
      <c r="I34" s="98" t="str">
        <f>IF('[1]Lists and Calcs (Hidden)'!AJ58="","",
                    IF(INDEX('[1]5. Assess Risks'!$D$6:$D$704,MATCH('[1]Lists and Calcs (Hidden)'!AJ58,'[1]Lists and Calcs (Hidden)'!$AB$34:$AB$732,0))="","",
                                    INDEX('[1]5. Assess Risks'!$D$6:$D$704,MATCH('[1]Lists and Calcs (Hidden)'!AJ58,'[1]Lists and Calcs (Hidden)'!$AB$34:$AB$732,0))
))</f>
        <v>WAF, Email Filtering, Vulnerability Management Program, Application Safelisting, Security Awareness Training Program, Phishing Simulations, Firewall, Endpoint Detection and Response, Intrusion Detection and Protection, Data Loss Prevention.</v>
      </c>
      <c r="J34" s="91"/>
      <c r="K34" s="91"/>
      <c r="L34" s="91"/>
      <c r="M34" s="91"/>
      <c r="N34" s="91"/>
      <c r="O34" s="91"/>
      <c r="P34" s="99" t="str">
        <f>IF('[1]Lists and Calcs (Hidden)'!AJ58="","",
                    IF(INDEX('[1]5. Assess Risks'!$G$6:$G$704,MATCH('[1]Lists and Calcs (Hidden)'!AJ58,'[1]Lists and Calcs (Hidden)'!$AB$34:$AB$732,0))="","",
                                    INDEX('[1]5. Assess Risks'!$G$6:$G$704,MATCH('[1]Lists and Calcs (Hidden)'!AJ58,'[1]Lists and Calcs (Hidden)'!$AB$34:$AB$732,0))
))</f>
        <v>Likely</v>
      </c>
      <c r="Q34" s="99" t="str">
        <f>IF('[1]Lists and Calcs (Hidden)'!AJ58="","",
                    IF(INDEX('[1]5. Assess Risks'!$H$6:$H$704,MATCH('[1]Lists and Calcs (Hidden)'!AJ58,'[1]Lists and Calcs (Hidden)'!$AB$34:$AB$732,0))="","",
                                    INDEX('[1]5. Assess Risks'!$H$6:$H$704,MATCH('[1]Lists and Calcs (Hidden)'!AJ58,'[1]Lists and Calcs (Hidden)'!$AB$34:$AB$732,0))
))</f>
        <v>Moderate</v>
      </c>
      <c r="R34" s="100" t="str">
        <f>IFERROR(IF('[1]2. Prepare'!$O$50="Quantitative",INDEX('[1]Lists and Calcs (Hidden)'!$M$12:$Q$16,MATCH('[1]6. Risk Register Integration'!P34,'[1]Lists and Calcs (Hidden)'!$K$12:$K$16,0),MATCH('[1]6. Risk Register Integration'!Q34,'[1]Lists and Calcs (Hidden)'!$M$10:$Q$10,0)),INDEX('[1]Lists and Calcs (Hidden)'!$Z$12:$AD$16,MATCH('[1]6. Risk Register Integration'!P34,'[1]Lists and Calcs (Hidden)'!$X$12:$X$16,0),MATCH('[1]6. Risk Register Integration'!Q34,'[1]Lists and Calcs (Hidden)'!$Z$10:$AD$10,0))),"")</f>
        <v>Medium</v>
      </c>
      <c r="S34" s="101" t="str">
        <f>IF('[1]Lists and Calcs (Hidden)'!AJ58="","",
                    IF(INDEX('[1]5. Assess Risks'!$J$6:$J$704,MATCH('[1]Lists and Calcs (Hidden)'!AJ58,'[1]Lists and Calcs (Hidden)'!$AB$34:$AB$732,0))="","",
                                    INDEX('[1]5. Assess Risks'!$J$6:$J$704,MATCH('[1]Lists and Calcs (Hidden)'!AJ58,'[1]Lists and Calcs (Hidden)'!$AB$34:$AB$732,0))
))</f>
        <v>Formally Accept the Risk</v>
      </c>
      <c r="T34" s="102"/>
      <c r="U34" s="105"/>
      <c r="V34" s="106"/>
      <c r="W34" s="105"/>
      <c r="X34" s="105"/>
      <c r="Y34" s="98" t="str">
        <f>IF('[1]Lists and Calcs (Hidden)'!AJ58="","",
                    IF(INDEX('[1]5. Assess Risks'!$L$6:$L$704,MATCH('[1]Lists and Calcs (Hidden)'!AJ58,'[1]Lists and Calcs (Hidden)'!$AB$34:$AB$732,0))="","",
                                    INDEX('[1]5. Assess Risks'!$L$6:$L$704,MATCH('[1]Lists and Calcs (Hidden)'!AJ58,'[1]Lists and Calcs (Hidden)'!$AB$34:$AB$732,0))
))</f>
        <v>Source of residual risks: Existing controls do not mitigate against malicious external scans.
Potential additional controls: Minimize external exposures, consider using a honeypot to gather threat intelligence, build a threat intelligence program for scanning techniques, and build network traffic analysis to identify scanning or probing.</v>
      </c>
      <c r="Z34" s="95"/>
      <c r="AA34" s="96"/>
      <c r="AB34" s="85"/>
      <c r="AC34" s="86"/>
      <c r="AD34" s="87" t="str">
        <f>IFERROR(IF('[1]2. Prepare'!$O$50="Quantitative",INDEX('[1]Lists and Calcs (Hidden)'!$M$12:$Q$16,MATCH('[1]6. Risk Register Integration'!AB34,'[1]Lists and Calcs (Hidden)'!$K$12:$K$16,0),MATCH('[1]6. Risk Register Integration'!AC34,'[1]Lists and Calcs (Hidden)'!$M$10:$Q$10,0)),INDEX('[1]Lists and Calcs (Hidden)'!$Z$12:$AD$16,MATCH('[1]6. Risk Register Integration'!AB34,'[1]Lists and Calcs (Hidden)'!$X$12:$X$16,0),MATCH('[1]6. Risk Register Integration'!AC34,'[1]Lists and Calcs (Hidden)'!$Z$10:$AD$10,0))),"")</f>
        <v/>
      </c>
      <c r="AE34" s="54"/>
      <c r="AF34" s="4"/>
      <c r="AG34" s="4"/>
    </row>
    <row r="35" spans="2:33" ht="330" customHeight="1" x14ac:dyDescent="0.2">
      <c r="B35" s="97"/>
      <c r="C35" s="89" t="str">
        <f>IF('[1]Lists and Calcs (Hidden)'!AJ59="","",
                    IF(INDEX('[1]5. Assess Risks'!$B$6:$B$704,MATCH('[1]Lists and Calcs (Hidden)'!AJ59,'[1]Lists and Calcs (Hidden)'!$AB$34:$AB$732,0))="","",
                                    INDEX('[1]5. Assess Risks'!$B$6:$B$704,MATCH('[1]Lists and Calcs (Hidden)'!AJ59,'[1]Lists and Calcs (Hidden)'!$AB$34:$AB$732,0))
))</f>
        <v>TRA1.36 - ERP System - An attacker uses the OS's built-in functionalities or existing tools to gather information about the system itself. This could involve enumerating running processes and services to identify potential vulnerabilities or software versions with known exploits, using system commands to discover available user accounts and groups for later privilege escalation attempts, and analyzing system logs to gain insights into user activity and identify any security incidents.</v>
      </c>
      <c r="D35" s="90">
        <f>IF(C35="", "", '[1]2. Prepare'!$E$6)</f>
        <v>45033</v>
      </c>
      <c r="E35" s="91"/>
      <c r="F35" s="91"/>
      <c r="G35" s="91"/>
      <c r="H35" s="91"/>
      <c r="I35" s="89" t="str">
        <f>IF('[1]Lists and Calcs (Hidden)'!AJ59="","",
                    IF(INDEX('[1]5. Assess Risks'!$D$6:$D$704,MATCH('[1]Lists and Calcs (Hidden)'!AJ59,'[1]Lists and Calcs (Hidden)'!$AB$34:$AB$732,0))="","",
                                    INDEX('[1]5. Assess Risks'!$D$6:$D$704,MATCH('[1]Lists and Calcs (Hidden)'!AJ59,'[1]Lists and Calcs (Hidden)'!$AB$34:$AB$732,0))
))</f>
        <v>WAF, Email Filtering, Vulnerability Management Program, Application Safelisting, Security Awareness Training Program, Phishing Simulations, Firewall, Endpoint Detection and Response, Intrusion Detection and Protection, Data Loss Prevention.</v>
      </c>
      <c r="J35" s="91"/>
      <c r="K35" s="91"/>
      <c r="L35" s="91"/>
      <c r="M35" s="91"/>
      <c r="N35" s="91"/>
      <c r="O35" s="91"/>
      <c r="P35" s="92" t="str">
        <f>IF('[1]Lists and Calcs (Hidden)'!AJ59="","",
                    IF(INDEX('[1]5. Assess Risks'!$G$6:$G$704,MATCH('[1]Lists and Calcs (Hidden)'!AJ59,'[1]Lists and Calcs (Hidden)'!$AB$34:$AB$732,0))="","",
                                    INDEX('[1]5. Assess Risks'!$G$6:$G$704,MATCH('[1]Lists and Calcs (Hidden)'!AJ59,'[1]Lists and Calcs (Hidden)'!$AB$34:$AB$732,0))
))</f>
        <v>Possible</v>
      </c>
      <c r="Q35" s="92" t="str">
        <f>IF('[1]Lists and Calcs (Hidden)'!AJ59="","",
                    IF(INDEX('[1]5. Assess Risks'!$H$6:$H$704,MATCH('[1]Lists and Calcs (Hidden)'!AJ59,'[1]Lists and Calcs (Hidden)'!$AB$34:$AB$732,0))="","",
                                    INDEX('[1]5. Assess Risks'!$H$6:$H$704,MATCH('[1]Lists and Calcs (Hidden)'!AJ59,'[1]Lists and Calcs (Hidden)'!$AB$34:$AB$732,0))
))</f>
        <v>Minor</v>
      </c>
      <c r="R35" s="93" t="str">
        <f>IFERROR(IF('[1]2. Prepare'!$O$50="Quantitative",INDEX('[1]Lists and Calcs (Hidden)'!$M$12:$Q$16,MATCH('[1]6. Risk Register Integration'!P35,'[1]Lists and Calcs (Hidden)'!$K$12:$K$16,0),MATCH('[1]6. Risk Register Integration'!Q35,'[1]Lists and Calcs (Hidden)'!$M$10:$Q$10,0)),INDEX('[1]Lists and Calcs (Hidden)'!$Z$12:$AD$16,MATCH('[1]6. Risk Register Integration'!P35,'[1]Lists and Calcs (Hidden)'!$X$12:$X$16,0),MATCH('[1]6. Risk Register Integration'!Q35,'[1]Lists and Calcs (Hidden)'!$Z$10:$AD$10,0))),"")</f>
        <v>Medium</v>
      </c>
      <c r="S35" s="94" t="str">
        <f>IF('[1]Lists and Calcs (Hidden)'!AJ59="","",
                    IF(INDEX('[1]5. Assess Risks'!$J$6:$J$704,MATCH('[1]Lists and Calcs (Hidden)'!AJ59,'[1]Lists and Calcs (Hidden)'!$AB$34:$AB$732,0))="","",
                                    INDEX('[1]5. Assess Risks'!$J$6:$J$704,MATCH('[1]Lists and Calcs (Hidden)'!AJ59,'[1]Lists and Calcs (Hidden)'!$AB$34:$AB$732,0))
))</f>
        <v>No New Actions Needed</v>
      </c>
      <c r="T35" s="102"/>
      <c r="U35" s="105"/>
      <c r="V35" s="106"/>
      <c r="W35" s="105"/>
      <c r="X35" s="105"/>
      <c r="Y35" s="89" t="str">
        <f>IF('[1]Lists and Calcs (Hidden)'!AJ59="","",
                    IF(INDEX('[1]5. Assess Risks'!$L$6:$L$704,MATCH('[1]Lists and Calcs (Hidden)'!AJ59,'[1]Lists and Calcs (Hidden)'!$AB$34:$AB$732,0))="","",
                                    INDEX('[1]5. Assess Risks'!$L$6:$L$704,MATCH('[1]Lists and Calcs (Hidden)'!AJ59,'[1]Lists and Calcs (Hidden)'!$AB$34:$AB$732,0))
))</f>
        <v>Source of residual risk: Zero-Days, social engineering, supply chain compromise.
Potential additional controls: Hardened application configurations, MFA.</v>
      </c>
      <c r="Z35" s="95"/>
      <c r="AA35" s="96"/>
      <c r="AB35" s="85"/>
      <c r="AC35" s="86"/>
      <c r="AD35" s="87" t="str">
        <f>IFERROR(IF('[1]2. Prepare'!$O$50="Quantitative",INDEX('[1]Lists and Calcs (Hidden)'!$M$12:$Q$16,MATCH('[1]6. Risk Register Integration'!AB35,'[1]Lists and Calcs (Hidden)'!$K$12:$K$16,0),MATCH('[1]6. Risk Register Integration'!AC35,'[1]Lists and Calcs (Hidden)'!$M$10:$Q$10,0)),INDEX('[1]Lists and Calcs (Hidden)'!$Z$12:$AD$16,MATCH('[1]6. Risk Register Integration'!AB35,'[1]Lists and Calcs (Hidden)'!$X$12:$X$16,0),MATCH('[1]6. Risk Register Integration'!AC35,'[1]Lists and Calcs (Hidden)'!$Z$10:$AD$10,0))),"")</f>
        <v/>
      </c>
      <c r="AE35" s="54"/>
      <c r="AF35" s="4"/>
      <c r="AG35" s="4"/>
    </row>
    <row r="36" spans="2:33" ht="330" customHeight="1" x14ac:dyDescent="0.2">
      <c r="B36" s="107"/>
      <c r="C36" s="98" t="str">
        <f>IF('[1]Lists and Calcs (Hidden)'!AJ60="","",
                    IF(INDEX('[1]5. Assess Risks'!$B$6:$B$704,MATCH('[1]Lists and Calcs (Hidden)'!AJ60,'[1]Lists and Calcs (Hidden)'!$AB$34:$AB$732,0))="","",
                                    INDEX('[1]5. Assess Risks'!$B$6:$B$704,MATCH('[1]Lists and Calcs (Hidden)'!AJ60,'[1]Lists and Calcs (Hidden)'!$AB$34:$AB$732,0))
))</f>
        <v>TRA1.37 - ERP System - Leveraging built-in tools: An attacker uses the OS networking functionalities to achieve lateral movement. This could involve using remote access protocols (e.g. SSH, Remote Desktop) to connect to other systems, file sharing mechanisms (e.g. SMB) to access resources on other machines, or administrative tools (e.g. PsExec, WMI) to execute commands remotely. 
Abusing OS functionalities: An attacker exploits OS vulnerabilities to achieve lateral movement. This could involve privilege escalation to gain administrative access and manipulate system configurations or worm-like propagation through the network leveraging OS vulnerabilities.</v>
      </c>
      <c r="D36" s="90">
        <f>IF(C36="", "", '[1]2. Prepare'!$E$6)</f>
        <v>45033</v>
      </c>
      <c r="E36" s="91"/>
      <c r="F36" s="91"/>
      <c r="G36" s="91"/>
      <c r="H36" s="91"/>
      <c r="I36" s="98" t="str">
        <f>IF('[1]Lists and Calcs (Hidden)'!AJ60="","",
                    IF(INDEX('[1]5. Assess Risks'!$D$6:$D$704,MATCH('[1]Lists and Calcs (Hidden)'!AJ60,'[1]Lists and Calcs (Hidden)'!$AB$34:$AB$732,0))="","",
                                    INDEX('[1]5. Assess Risks'!$D$6:$D$704,MATCH('[1]Lists and Calcs (Hidden)'!AJ60,'[1]Lists and Calcs (Hidden)'!$AB$34:$AB$732,0))
))</f>
        <v>WAF, Email Filtering, Vulnerability Management Program, Application Safelisting, Security Awareness Training Program, Phishing Simulations, Firewall, Endpoint Detection and Response, Intrusion Detection and Protection, Data Loss Prevention.</v>
      </c>
      <c r="J36" s="91"/>
      <c r="K36" s="91"/>
      <c r="L36" s="91"/>
      <c r="M36" s="91"/>
      <c r="N36" s="91"/>
      <c r="O36" s="91"/>
      <c r="P36" s="99" t="str">
        <f>IF('[1]Lists and Calcs (Hidden)'!AJ60="","",
                    IF(INDEX('[1]5. Assess Risks'!$G$6:$G$704,MATCH('[1]Lists and Calcs (Hidden)'!AJ60,'[1]Lists and Calcs (Hidden)'!$AB$34:$AB$732,0))="","",
                                    INDEX('[1]5. Assess Risks'!$G$6:$G$704,MATCH('[1]Lists and Calcs (Hidden)'!AJ60,'[1]Lists and Calcs (Hidden)'!$AB$34:$AB$732,0))
))</f>
        <v>Likely</v>
      </c>
      <c r="Q36" s="99" t="str">
        <f>IF('[1]Lists and Calcs (Hidden)'!AJ60="","",
                    IF(INDEX('[1]5. Assess Risks'!$H$6:$H$704,MATCH('[1]Lists and Calcs (Hidden)'!AJ60,'[1]Lists and Calcs (Hidden)'!$AB$34:$AB$732,0))="","",
                                    INDEX('[1]5. Assess Risks'!$H$6:$H$704,MATCH('[1]Lists and Calcs (Hidden)'!AJ60,'[1]Lists and Calcs (Hidden)'!$AB$34:$AB$732,0))
))</f>
        <v>Moderate</v>
      </c>
      <c r="R36" s="100" t="str">
        <f>IFERROR(IF('[1]2. Prepare'!$O$50="Quantitative",INDEX('[1]Lists and Calcs (Hidden)'!$M$12:$Q$16,MATCH('[1]6. Risk Register Integration'!P36,'[1]Lists and Calcs (Hidden)'!$K$12:$K$16,0),MATCH('[1]6. Risk Register Integration'!Q36,'[1]Lists and Calcs (Hidden)'!$M$10:$Q$10,0)),INDEX('[1]Lists and Calcs (Hidden)'!$Z$12:$AD$16,MATCH('[1]6. Risk Register Integration'!P36,'[1]Lists and Calcs (Hidden)'!$X$12:$X$16,0),MATCH('[1]6. Risk Register Integration'!Q36,'[1]Lists and Calcs (Hidden)'!$Z$10:$AD$10,0))),"")</f>
        <v>Medium</v>
      </c>
      <c r="S36" s="101" t="str">
        <f>IF('[1]Lists and Calcs (Hidden)'!AJ60="","",
                    IF(INDEX('[1]5. Assess Risks'!$J$6:$J$704,MATCH('[1]Lists and Calcs (Hidden)'!AJ60,'[1]Lists and Calcs (Hidden)'!$AB$34:$AB$732,0))="","",
                                    INDEX('[1]5. Assess Risks'!$J$6:$J$704,MATCH('[1]Lists and Calcs (Hidden)'!AJ60,'[1]Lists and Calcs (Hidden)'!$AB$34:$AB$732,0))
))</f>
        <v>Formally Accept the Risk</v>
      </c>
      <c r="T36" s="102"/>
      <c r="U36" s="105"/>
      <c r="V36" s="106"/>
      <c r="W36" s="105"/>
      <c r="X36" s="105"/>
      <c r="Y36" s="98" t="str">
        <f>IF('[1]Lists and Calcs (Hidden)'!AJ60="","",
                    IF(INDEX('[1]5. Assess Risks'!$L$6:$L$704,MATCH('[1]Lists and Calcs (Hidden)'!AJ60,'[1]Lists and Calcs (Hidden)'!$AB$34:$AB$732,0))="","",
                                    INDEX('[1]5. Assess Risks'!$L$6:$L$704,MATCH('[1]Lists and Calcs (Hidden)'!AJ60,'[1]Lists and Calcs (Hidden)'!$AB$34:$AB$732,0))
))</f>
        <v>Source of residual risk: Living off the land, evolving evasion.
Potential additional controls: UBA, least privilege, application hardening, file integrity monitoring.</v>
      </c>
      <c r="Z36" s="95"/>
      <c r="AA36" s="96"/>
      <c r="AB36" s="85"/>
      <c r="AC36" s="86"/>
      <c r="AD36" s="87" t="str">
        <f>IFERROR(IF('[1]2. Prepare'!$O$50="Quantitative",INDEX('[1]Lists and Calcs (Hidden)'!$M$12:$Q$16,MATCH('[1]6. Risk Register Integration'!AB36,'[1]Lists and Calcs (Hidden)'!$K$12:$K$16,0),MATCH('[1]6. Risk Register Integration'!AC36,'[1]Lists and Calcs (Hidden)'!$M$10:$Q$10,0)),INDEX('[1]Lists and Calcs (Hidden)'!$Z$12:$AD$16,MATCH('[1]6. Risk Register Integration'!AB36,'[1]Lists and Calcs (Hidden)'!$X$12:$X$16,0),MATCH('[1]6. Risk Register Integration'!AC36,'[1]Lists and Calcs (Hidden)'!$Z$10:$AD$10,0))),"")</f>
        <v/>
      </c>
      <c r="AE36" s="54"/>
      <c r="AF36" s="4"/>
      <c r="AG36" s="4"/>
    </row>
    <row r="37" spans="2:33" ht="330" customHeight="1" x14ac:dyDescent="0.2">
      <c r="B37" s="108"/>
      <c r="C37" s="89" t="str">
        <f>IF('[1]Lists and Calcs (Hidden)'!AJ61="","",
                    IF(INDEX('[1]5. Assess Risks'!$B$6:$B$704,MATCH('[1]Lists and Calcs (Hidden)'!AJ61,'[1]Lists and Calcs (Hidden)'!$AB$34:$AB$732,0))="","",
                                    INDEX('[1]5. Assess Risks'!$B$6:$B$704,MATCH('[1]Lists and Calcs (Hidden)'!AJ61,'[1]Lists and Calcs (Hidden)'!$AB$34:$AB$732,0))
))</f>
        <v>TRA1.38 - ERP System - Malware leverages the OS's functionalities to gather sensitive information from the infected machine. This could involve accessing system logs containing user activity, security events, or application logs to identify potential weaknesses or extract valuable information; using system commands or APIs to collect data such as system configuration details, hardware information, or running processes; or scraping user data stored within the OS's file system, like browser history, cached files, or application data folders.</v>
      </c>
      <c r="D37" s="90">
        <f>IF(C37="", "", '[1]2. Prepare'!$E$6)</f>
        <v>45033</v>
      </c>
      <c r="E37" s="91"/>
      <c r="F37" s="91"/>
      <c r="G37" s="91"/>
      <c r="H37" s="91"/>
      <c r="I37" s="89" t="str">
        <f>IF('[1]Lists and Calcs (Hidden)'!AJ61="","",
                    IF(INDEX('[1]5. Assess Risks'!$D$6:$D$704,MATCH('[1]Lists and Calcs (Hidden)'!AJ61,'[1]Lists and Calcs (Hidden)'!$AB$34:$AB$732,0))="","",
                                    INDEX('[1]5. Assess Risks'!$D$6:$D$704,MATCH('[1]Lists and Calcs (Hidden)'!AJ61,'[1]Lists and Calcs (Hidden)'!$AB$34:$AB$732,0))
))</f>
        <v>WAF, Email Filtering, Vulnerability Management Program, Application Safelisting, Security Awareness Training Program, Phishing Simulations, Firewall, Endpoint Detection and Response, Intrusion Detection and Protection, Data Loss Prevention.</v>
      </c>
      <c r="J37" s="91"/>
      <c r="K37" s="91"/>
      <c r="L37" s="91"/>
      <c r="M37" s="91"/>
      <c r="N37" s="91"/>
      <c r="O37" s="91"/>
      <c r="P37" s="92" t="str">
        <f>IF('[1]Lists and Calcs (Hidden)'!AJ61="","",
                    IF(INDEX('[1]5. Assess Risks'!$G$6:$G$704,MATCH('[1]Lists and Calcs (Hidden)'!AJ61,'[1]Lists and Calcs (Hidden)'!$AB$34:$AB$732,0))="","",
                                    INDEX('[1]5. Assess Risks'!$G$6:$G$704,MATCH('[1]Lists and Calcs (Hidden)'!AJ61,'[1]Lists and Calcs (Hidden)'!$AB$34:$AB$732,0))
))</f>
        <v>Likely</v>
      </c>
      <c r="Q37" s="92" t="str">
        <f>IF('[1]Lists and Calcs (Hidden)'!AJ61="","",
                    IF(INDEX('[1]5. Assess Risks'!$H$6:$H$704,MATCH('[1]Lists and Calcs (Hidden)'!AJ61,'[1]Lists and Calcs (Hidden)'!$AB$34:$AB$732,0))="","",
                                    INDEX('[1]5. Assess Risks'!$H$6:$H$704,MATCH('[1]Lists and Calcs (Hidden)'!AJ61,'[1]Lists and Calcs (Hidden)'!$AB$34:$AB$732,0))
))</f>
        <v>Moderate</v>
      </c>
      <c r="R37" s="93" t="str">
        <f>IFERROR(IF('[1]2. Prepare'!$O$50="Quantitative",INDEX('[1]Lists and Calcs (Hidden)'!$M$12:$Q$16,MATCH('[1]6. Risk Register Integration'!P37,'[1]Lists and Calcs (Hidden)'!$K$12:$K$16,0),MATCH('[1]6. Risk Register Integration'!Q37,'[1]Lists and Calcs (Hidden)'!$M$10:$Q$10,0)),INDEX('[1]Lists and Calcs (Hidden)'!$Z$12:$AD$16,MATCH('[1]6. Risk Register Integration'!P37,'[1]Lists and Calcs (Hidden)'!$X$12:$X$16,0),MATCH('[1]6. Risk Register Integration'!Q37,'[1]Lists and Calcs (Hidden)'!$Z$10:$AD$10,0))),"")</f>
        <v>Medium</v>
      </c>
      <c r="S37" s="94" t="str">
        <f>IF('[1]Lists and Calcs (Hidden)'!AJ61="","",
                    IF(INDEX('[1]5. Assess Risks'!$J$6:$J$704,MATCH('[1]Lists and Calcs (Hidden)'!AJ61,'[1]Lists and Calcs (Hidden)'!$AB$34:$AB$732,0))="","",
                                    INDEX('[1]5. Assess Risks'!$J$6:$J$704,MATCH('[1]Lists and Calcs (Hidden)'!AJ61,'[1]Lists and Calcs (Hidden)'!$AB$34:$AB$732,0))
))</f>
        <v>Formally Accept the Risk</v>
      </c>
      <c r="T37" s="102"/>
      <c r="U37" s="105"/>
      <c r="V37" s="106"/>
      <c r="W37" s="105"/>
      <c r="X37" s="105"/>
      <c r="Y37" s="89" t="str">
        <f>IF('[1]Lists and Calcs (Hidden)'!AJ61="","",
                    IF(INDEX('[1]5. Assess Risks'!$L$6:$L$704,MATCH('[1]Lists and Calcs (Hidden)'!AJ61,'[1]Lists and Calcs (Hidden)'!$AB$34:$AB$732,0))="","",
                                    INDEX('[1]5. Assess Risks'!$L$6:$L$704,MATCH('[1]Lists and Calcs (Hidden)'!AJ61,'[1]Lists and Calcs (Hidden)'!$AB$34:$AB$732,0))
))</f>
        <v>Source of residual risk: Existing controls are focused on protecting against attacks. They are less effective against established persistence.
Potential additional controls: File integrity monitoring, proactive threat hunting, UBA, reduce local admin rights.</v>
      </c>
      <c r="Z37" s="95"/>
      <c r="AA37" s="96"/>
      <c r="AB37" s="85"/>
      <c r="AC37" s="86"/>
      <c r="AD37" s="87" t="str">
        <f>IFERROR(IF('[1]2. Prepare'!$O$50="Quantitative",INDEX('[1]Lists and Calcs (Hidden)'!$M$12:$Q$16,MATCH('[1]6. Risk Register Integration'!AB37,'[1]Lists and Calcs (Hidden)'!$K$12:$K$16,0),MATCH('[1]6. Risk Register Integration'!AC37,'[1]Lists and Calcs (Hidden)'!$M$10:$Q$10,0)),INDEX('[1]Lists and Calcs (Hidden)'!$Z$12:$AD$16,MATCH('[1]6. Risk Register Integration'!AB37,'[1]Lists and Calcs (Hidden)'!$X$12:$X$16,0),MATCH('[1]6. Risk Register Integration'!AC37,'[1]Lists and Calcs (Hidden)'!$Z$10:$AD$10,0))),"")</f>
        <v/>
      </c>
      <c r="AE37" s="54"/>
      <c r="AF37" s="4"/>
      <c r="AG37" s="4"/>
    </row>
    <row r="38" spans="2:33" ht="330" customHeight="1" x14ac:dyDescent="0.2">
      <c r="B38" s="107"/>
      <c r="C38" s="98" t="str">
        <f>IF('[1]Lists and Calcs (Hidden)'!AJ62="","",
                    IF(INDEX('[1]5. Assess Risks'!$B$6:$B$704,MATCH('[1]Lists and Calcs (Hidden)'!AJ62,'[1]Lists and Calcs (Hidden)'!$AB$34:$AB$732,0))="","",
                                    INDEX('[1]5. Assess Risks'!$B$6:$B$704,MATCH('[1]Lists and Calcs (Hidden)'!AJ62,'[1]Lists and Calcs (Hidden)'!$AB$34:$AB$732,0))
))</f>
        <v>TRA1.39 - ERP System - Compromising the operating system grants attackers a powerful foothold, potentially leading to data loss, system disruption, lateral movement, and persistent control. Since the OS forms the foundation of the system, successful exploitation can have significant impacts.</v>
      </c>
      <c r="D38" s="90">
        <f>IF(C38="", "", '[1]2. Prepare'!$E$6)</f>
        <v>45033</v>
      </c>
      <c r="E38" s="91"/>
      <c r="F38" s="91"/>
      <c r="G38" s="91"/>
      <c r="H38" s="91"/>
      <c r="I38" s="98" t="str">
        <f>IF('[1]Lists and Calcs (Hidden)'!AJ62="","",
                    IF(INDEX('[1]5. Assess Risks'!$D$6:$D$704,MATCH('[1]Lists and Calcs (Hidden)'!AJ62,'[1]Lists and Calcs (Hidden)'!$AB$34:$AB$732,0))="","",
                                    INDEX('[1]5. Assess Risks'!$D$6:$D$704,MATCH('[1]Lists and Calcs (Hidden)'!AJ62,'[1]Lists and Calcs (Hidden)'!$AB$34:$AB$732,0))
))</f>
        <v>WAF, Email Filtering, Vulnerability Management Program, Application Safelisting, Security Awareness Training Program, Phishing Simulations, Firewall, Endpoint Detection and Response, Intrusion Detection and Protection, Data Loss Prevention.</v>
      </c>
      <c r="J38" s="91"/>
      <c r="K38" s="91"/>
      <c r="L38" s="91"/>
      <c r="M38" s="91"/>
      <c r="N38" s="91"/>
      <c r="O38" s="91"/>
      <c r="P38" s="99" t="str">
        <f>IF('[1]Lists and Calcs (Hidden)'!AJ62="","",
                    IF(INDEX('[1]5. Assess Risks'!$G$6:$G$704,MATCH('[1]Lists and Calcs (Hidden)'!AJ62,'[1]Lists and Calcs (Hidden)'!$AB$34:$AB$732,0))="","",
                                    INDEX('[1]5. Assess Risks'!$G$6:$G$704,MATCH('[1]Lists and Calcs (Hidden)'!AJ62,'[1]Lists and Calcs (Hidden)'!$AB$34:$AB$732,0))
))</f>
        <v>Possible</v>
      </c>
      <c r="Q38" s="99" t="str">
        <f>IF('[1]Lists and Calcs (Hidden)'!AJ62="","",
                    IF(INDEX('[1]5. Assess Risks'!$H$6:$H$704,MATCH('[1]Lists and Calcs (Hidden)'!AJ62,'[1]Lists and Calcs (Hidden)'!$AB$34:$AB$732,0))="","",
                                    INDEX('[1]5. Assess Risks'!$H$6:$H$704,MATCH('[1]Lists and Calcs (Hidden)'!AJ62,'[1]Lists and Calcs (Hidden)'!$AB$34:$AB$732,0))
))</f>
        <v>Major</v>
      </c>
      <c r="R38" s="100" t="str">
        <f>IFERROR(IF('[1]2. Prepare'!$O$50="Quantitative",INDEX('[1]Lists and Calcs (Hidden)'!$M$12:$Q$16,MATCH('[1]6. Risk Register Integration'!P38,'[1]Lists and Calcs (Hidden)'!$K$12:$K$16,0),MATCH('[1]6. Risk Register Integration'!Q38,'[1]Lists and Calcs (Hidden)'!$M$10:$Q$10,0)),INDEX('[1]Lists and Calcs (Hidden)'!$Z$12:$AD$16,MATCH('[1]6. Risk Register Integration'!P38,'[1]Lists and Calcs (Hidden)'!$X$12:$X$16,0),MATCH('[1]6. Risk Register Integration'!Q38,'[1]Lists and Calcs (Hidden)'!$Z$10:$AD$10,0))),"")</f>
        <v>Medium</v>
      </c>
      <c r="S38" s="101" t="str">
        <f>IF('[1]Lists and Calcs (Hidden)'!AJ62="","",
                    IF(INDEX('[1]5. Assess Risks'!$J$6:$J$704,MATCH('[1]Lists and Calcs (Hidden)'!AJ62,'[1]Lists and Calcs (Hidden)'!$AB$34:$AB$732,0))="","",
                                    INDEX('[1]5. Assess Risks'!$J$6:$J$704,MATCH('[1]Lists and Calcs (Hidden)'!AJ62,'[1]Lists and Calcs (Hidden)'!$AB$34:$AB$732,0))
))</f>
        <v>Formally Accept the Risk</v>
      </c>
      <c r="T38" s="102"/>
      <c r="U38" s="105"/>
      <c r="V38" s="106"/>
      <c r="W38" s="105"/>
      <c r="X38" s="105"/>
      <c r="Y38" s="98" t="str">
        <f>IF('[1]Lists and Calcs (Hidden)'!AJ62="","",
                    IF(INDEX('[1]5. Assess Risks'!$L$6:$L$704,MATCH('[1]Lists and Calcs (Hidden)'!AJ62,'[1]Lists and Calcs (Hidden)'!$AB$34:$AB$732,0))="","",
                                    INDEX('[1]5. Assess Risks'!$L$6:$L$704,MATCH('[1]Lists and Calcs (Hidden)'!AJ62,'[1]Lists and Calcs (Hidden)'!$AB$34:$AB$732,0))
))</f>
        <v>Source of residual risk: Social engineering gains.
Potential additional controls: Least privilege, application hardening, MFA.</v>
      </c>
      <c r="Z38" s="95"/>
      <c r="AA38" s="96"/>
      <c r="AB38" s="85"/>
      <c r="AC38" s="86"/>
      <c r="AD38" s="87" t="str">
        <f>IFERROR(IF('[1]2. Prepare'!$O$50="Quantitative",INDEX('[1]Lists and Calcs (Hidden)'!$M$12:$Q$16,MATCH('[1]6. Risk Register Integration'!AB38,'[1]Lists and Calcs (Hidden)'!$K$12:$K$16,0),MATCH('[1]6. Risk Register Integration'!AC38,'[1]Lists and Calcs (Hidden)'!$M$10:$Q$10,0)),INDEX('[1]Lists and Calcs (Hidden)'!$Z$12:$AD$16,MATCH('[1]6. Risk Register Integration'!AB38,'[1]Lists and Calcs (Hidden)'!$X$12:$X$16,0),MATCH('[1]6. Risk Register Integration'!AC38,'[1]Lists and Calcs (Hidden)'!$Z$10:$AD$10,0))),"")</f>
        <v/>
      </c>
      <c r="AE38" s="54"/>
      <c r="AF38" s="4"/>
      <c r="AG38" s="4"/>
    </row>
    <row r="39" spans="2:33" ht="330" customHeight="1" x14ac:dyDescent="0.2">
      <c r="B39" s="107"/>
      <c r="C39" s="89" t="str">
        <f>IF('[1]Lists and Calcs (Hidden)'!AJ63="","",
                    IF(INDEX('[1]5. Assess Risks'!$B$6:$B$704,MATCH('[1]Lists and Calcs (Hidden)'!AJ63,'[1]Lists and Calcs (Hidden)'!$AB$34:$AB$732,0))="","",
                                    INDEX('[1]5. Assess Risks'!$B$6:$B$704,MATCH('[1]Lists and Calcs (Hidden)'!AJ63,'[1]Lists and Calcs (Hidden)'!$AB$34:$AB$732,0))
))</f>
        <v>TRA1.40 - ERP System - An attacker launches a malware program that infects a user's machine. This malware scans for and gathers information about installed applications, including names, versions, and configurations. This reconnaissance activity helps the attacker identify vulnerabilities within those applications to exploit later for a more significant attack.</v>
      </c>
      <c r="D39" s="90">
        <f>IF(C39="", "", '[1]2. Prepare'!$E$6)</f>
        <v>45033</v>
      </c>
      <c r="E39" s="91"/>
      <c r="F39" s="91"/>
      <c r="G39" s="91"/>
      <c r="H39" s="91"/>
      <c r="I39" s="89" t="str">
        <f>IF('[1]Lists and Calcs (Hidden)'!AJ63="","",
                    IF(INDEX('[1]5. Assess Risks'!$D$6:$D$704,MATCH('[1]Lists and Calcs (Hidden)'!AJ63,'[1]Lists and Calcs (Hidden)'!$AB$34:$AB$732,0))="","",
                                    INDEX('[1]5. Assess Risks'!$D$6:$D$704,MATCH('[1]Lists and Calcs (Hidden)'!AJ63,'[1]Lists and Calcs (Hidden)'!$AB$34:$AB$732,0))
))</f>
        <v>WAF, Email Filtering, Vulnerability Management Program, Application Safelisting, Security Awareness Training Program, Phishing Simulations, Firewall, Endpoint Detection and Response, Intrusion Detection and Protection, Data Loss Prevention.</v>
      </c>
      <c r="J39" s="91"/>
      <c r="K39" s="91"/>
      <c r="L39" s="91"/>
      <c r="M39" s="91"/>
      <c r="N39" s="91"/>
      <c r="O39" s="91"/>
      <c r="P39" s="92" t="str">
        <f>IF('[1]Lists and Calcs (Hidden)'!AJ63="","",
                    IF(INDEX('[1]5. Assess Risks'!$G$6:$G$704,MATCH('[1]Lists and Calcs (Hidden)'!AJ63,'[1]Lists and Calcs (Hidden)'!$AB$34:$AB$732,0))="","",
                                    INDEX('[1]5. Assess Risks'!$G$6:$G$704,MATCH('[1]Lists and Calcs (Hidden)'!AJ63,'[1]Lists and Calcs (Hidden)'!$AB$34:$AB$732,0))
))</f>
        <v>Likely</v>
      </c>
      <c r="Q39" s="92" t="str">
        <f>IF('[1]Lists and Calcs (Hidden)'!AJ63="","",
                    IF(INDEX('[1]5. Assess Risks'!$H$6:$H$704,MATCH('[1]Lists and Calcs (Hidden)'!AJ63,'[1]Lists and Calcs (Hidden)'!$AB$34:$AB$732,0))="","",
                                    INDEX('[1]5. Assess Risks'!$H$6:$H$704,MATCH('[1]Lists and Calcs (Hidden)'!AJ63,'[1]Lists and Calcs (Hidden)'!$AB$34:$AB$732,0))
))</f>
        <v>Moderate</v>
      </c>
      <c r="R39" s="93" t="str">
        <f>IFERROR(IF('[1]2. Prepare'!$O$50="Quantitative",INDEX('[1]Lists and Calcs (Hidden)'!$M$12:$Q$16,MATCH('[1]6. Risk Register Integration'!P39,'[1]Lists and Calcs (Hidden)'!$K$12:$K$16,0),MATCH('[1]6. Risk Register Integration'!Q39,'[1]Lists and Calcs (Hidden)'!$M$10:$Q$10,0)),INDEX('[1]Lists and Calcs (Hidden)'!$Z$12:$AD$16,MATCH('[1]6. Risk Register Integration'!P39,'[1]Lists and Calcs (Hidden)'!$X$12:$X$16,0),MATCH('[1]6. Risk Register Integration'!Q39,'[1]Lists and Calcs (Hidden)'!$Z$10:$AD$10,0))),"")</f>
        <v>Medium</v>
      </c>
      <c r="S39" s="94" t="str">
        <f>IF('[1]Lists and Calcs (Hidden)'!AJ63="","",
                    IF(INDEX('[1]5. Assess Risks'!$J$6:$J$704,MATCH('[1]Lists and Calcs (Hidden)'!AJ63,'[1]Lists and Calcs (Hidden)'!$AB$34:$AB$732,0))="","",
                                    INDEX('[1]5. Assess Risks'!$J$6:$J$704,MATCH('[1]Lists and Calcs (Hidden)'!AJ63,'[1]Lists and Calcs (Hidden)'!$AB$34:$AB$732,0))
))</f>
        <v>Formally Accept the Risk</v>
      </c>
      <c r="T39" s="102"/>
      <c r="U39" s="105"/>
      <c r="V39" s="106"/>
      <c r="W39" s="105"/>
      <c r="X39" s="105"/>
      <c r="Y39" s="89" t="str">
        <f>IF('[1]Lists and Calcs (Hidden)'!AJ63="","",
                    IF(INDEX('[1]5. Assess Risks'!$L$6:$L$704,MATCH('[1]Lists and Calcs (Hidden)'!AJ63,'[1]Lists and Calcs (Hidden)'!$AB$34:$AB$732,0))="","",
                                    INDEX('[1]5. Assess Risks'!$L$6:$L$704,MATCH('[1]Lists and Calcs (Hidden)'!AJ63,'[1]Lists and Calcs (Hidden)'!$AB$34:$AB$732,0))
))</f>
        <v>Source of residual risk: Skilled attackers, zero-days, social engineering.
Potential additional controls: File integrity monitoring, assume compromise, and threat intelligence focused on evasion.</v>
      </c>
      <c r="Z39" s="95"/>
      <c r="AA39" s="96"/>
      <c r="AB39" s="85"/>
      <c r="AC39" s="86"/>
      <c r="AD39" s="87" t="str">
        <f>IFERROR(IF('[1]2. Prepare'!$O$50="Quantitative",INDEX('[1]Lists and Calcs (Hidden)'!$M$12:$Q$16,MATCH('[1]6. Risk Register Integration'!AB39,'[1]Lists and Calcs (Hidden)'!$K$12:$K$16,0),MATCH('[1]6. Risk Register Integration'!AC39,'[1]Lists and Calcs (Hidden)'!$M$10:$Q$10,0)),INDEX('[1]Lists and Calcs (Hidden)'!$Z$12:$AD$16,MATCH('[1]6. Risk Register Integration'!AB39,'[1]Lists and Calcs (Hidden)'!$X$12:$X$16,0),MATCH('[1]6. Risk Register Integration'!AC39,'[1]Lists and Calcs (Hidden)'!$Z$10:$AD$10,0))),"")</f>
        <v/>
      </c>
      <c r="AE39" s="54"/>
      <c r="AF39" s="4"/>
      <c r="AG39" s="4"/>
    </row>
    <row r="40" spans="2:33" ht="330" customHeight="1" x14ac:dyDescent="0.2">
      <c r="B40" s="107"/>
      <c r="C40" s="98" t="str">
        <f>IF('[1]Lists and Calcs (Hidden)'!AJ64="","",
                    IF(INDEX('[1]5. Assess Risks'!$B$6:$B$704,MATCH('[1]Lists and Calcs (Hidden)'!AJ64,'[1]Lists and Calcs (Hidden)'!$AB$34:$AB$732,0))="","",
                                    INDEX('[1]5. Assess Risks'!$B$6:$B$704,MATCH('[1]Lists and Calcs (Hidden)'!AJ64,'[1]Lists and Calcs (Hidden)'!$AB$34:$AB$732,0))
))</f>
        <v>TRA1.42 - ERP System - A vulnerability exists in a popular web application. An attacker discovers this vulnerability and crafts a specially designed exploit. When a user opens the application, the attacker's code executes within the application itself, potentially allowing unauthorized actions or data access.
In this scenario, the attacker directly targets the application (the Execution component) to achieve their malicious goals.</v>
      </c>
      <c r="D40" s="90">
        <f>IF(C40="", "", '[1]2. Prepare'!$E$6)</f>
        <v>45033</v>
      </c>
      <c r="E40" s="91"/>
      <c r="F40" s="91"/>
      <c r="G40" s="91"/>
      <c r="H40" s="91"/>
      <c r="I40" s="98" t="str">
        <f>IF('[1]Lists and Calcs (Hidden)'!AJ64="","",
                    IF(INDEX('[1]5. Assess Risks'!$D$6:$D$704,MATCH('[1]Lists and Calcs (Hidden)'!AJ64,'[1]Lists and Calcs (Hidden)'!$AB$34:$AB$732,0))="","",
                                    INDEX('[1]5. Assess Risks'!$D$6:$D$704,MATCH('[1]Lists and Calcs (Hidden)'!AJ64,'[1]Lists and Calcs (Hidden)'!$AB$34:$AB$732,0))
))</f>
        <v>WAF, Email Filtering, Vulnerability Management Program, Application Safelisting, Security Awareness Training Program, Phishing Simulations, Firewall, Endpoint Detection and Response, Intrusion Detection and Protection, Data Loss Prevention.</v>
      </c>
      <c r="J40" s="91"/>
      <c r="K40" s="91"/>
      <c r="L40" s="91"/>
      <c r="M40" s="91"/>
      <c r="N40" s="91"/>
      <c r="O40" s="91"/>
      <c r="P40" s="99" t="str">
        <f>IF('[1]Lists and Calcs (Hidden)'!AJ64="","",
                    IF(INDEX('[1]5. Assess Risks'!$G$6:$G$704,MATCH('[1]Lists and Calcs (Hidden)'!AJ64,'[1]Lists and Calcs (Hidden)'!$AB$34:$AB$732,0))="","",
                                    INDEX('[1]5. Assess Risks'!$G$6:$G$704,MATCH('[1]Lists and Calcs (Hidden)'!AJ64,'[1]Lists and Calcs (Hidden)'!$AB$34:$AB$732,0))
))</f>
        <v>Possible</v>
      </c>
      <c r="Q40" s="99" t="str">
        <f>IF('[1]Lists and Calcs (Hidden)'!AJ64="","",
                    IF(INDEX('[1]5. Assess Risks'!$H$6:$H$704,MATCH('[1]Lists and Calcs (Hidden)'!AJ64,'[1]Lists and Calcs (Hidden)'!$AB$34:$AB$732,0))="","",
                                    INDEX('[1]5. Assess Risks'!$H$6:$H$704,MATCH('[1]Lists and Calcs (Hidden)'!AJ64,'[1]Lists and Calcs (Hidden)'!$AB$34:$AB$732,0))
))</f>
        <v>Minor</v>
      </c>
      <c r="R40" s="100" t="str">
        <f>IFERROR(IF('[1]2. Prepare'!$O$50="Quantitative",INDEX('[1]Lists and Calcs (Hidden)'!$M$12:$Q$16,MATCH('[1]6. Risk Register Integration'!P40,'[1]Lists and Calcs (Hidden)'!$K$12:$K$16,0),MATCH('[1]6. Risk Register Integration'!Q40,'[1]Lists and Calcs (Hidden)'!$M$10:$Q$10,0)),INDEX('[1]Lists and Calcs (Hidden)'!$Z$12:$AD$16,MATCH('[1]6. Risk Register Integration'!P40,'[1]Lists and Calcs (Hidden)'!$X$12:$X$16,0),MATCH('[1]6. Risk Register Integration'!Q40,'[1]Lists and Calcs (Hidden)'!$Z$10:$AD$10,0))),"")</f>
        <v>Medium</v>
      </c>
      <c r="S40" s="101" t="str">
        <f>IF('[1]Lists and Calcs (Hidden)'!AJ64="","",
                    IF(INDEX('[1]5. Assess Risks'!$J$6:$J$704,MATCH('[1]Lists and Calcs (Hidden)'!AJ64,'[1]Lists and Calcs (Hidden)'!$AB$34:$AB$732,0))="","",
                                    INDEX('[1]5. Assess Risks'!$J$6:$J$704,MATCH('[1]Lists and Calcs (Hidden)'!AJ64,'[1]Lists and Calcs (Hidden)'!$AB$34:$AB$732,0))
))</f>
        <v>No New Actions Needed</v>
      </c>
      <c r="T40" s="102"/>
      <c r="U40" s="105"/>
      <c r="V40" s="106"/>
      <c r="W40" s="105"/>
      <c r="X40" s="105"/>
      <c r="Y40" s="98" t="str">
        <f>IF('[1]Lists and Calcs (Hidden)'!AJ64="","",
                    IF(INDEX('[1]5. Assess Risks'!$L$6:$L$704,MATCH('[1]Lists and Calcs (Hidden)'!AJ64,'[1]Lists and Calcs (Hidden)'!$AB$34:$AB$732,0))="","",
                                    INDEX('[1]5. Assess Risks'!$L$6:$L$704,MATCH('[1]Lists and Calcs (Hidden)'!AJ64,'[1]Lists and Calcs (Hidden)'!$AB$34:$AB$732,0))
))</f>
        <v>Source of residual risk: Existing controls protect against incursion but don't prevent lateral movement, such as living off the land.
Potential additional controls: Network segmentation, least privilege, network monitoring.</v>
      </c>
      <c r="Z40" s="95"/>
      <c r="AA40" s="96"/>
      <c r="AB40" s="85"/>
      <c r="AC40" s="86"/>
      <c r="AD40" s="87" t="str">
        <f>IFERROR(IF('[1]2. Prepare'!$O$50="Quantitative",INDEX('[1]Lists and Calcs (Hidden)'!$M$12:$Q$16,MATCH('[1]6. Risk Register Integration'!AB40,'[1]Lists and Calcs (Hidden)'!$K$12:$K$16,0),MATCH('[1]6. Risk Register Integration'!AC40,'[1]Lists and Calcs (Hidden)'!$M$10:$Q$10,0)),INDEX('[1]Lists and Calcs (Hidden)'!$Z$12:$AD$16,MATCH('[1]6. Risk Register Integration'!AB40,'[1]Lists and Calcs (Hidden)'!$X$12:$X$16,0),MATCH('[1]6. Risk Register Integration'!AC40,'[1]Lists and Calcs (Hidden)'!$Z$10:$AD$10,0))),"")</f>
        <v/>
      </c>
      <c r="AE40" s="54"/>
      <c r="AF40" s="4"/>
      <c r="AG40" s="4"/>
    </row>
    <row r="41" spans="2:33" ht="330" customHeight="1" x14ac:dyDescent="0.2">
      <c r="B41" s="107"/>
      <c r="C41" s="89" t="str">
        <f>IF('[1]Lists and Calcs (Hidden)'!AJ65="","",
                    IF(INDEX('[1]5. Assess Risks'!$B$6:$B$704,MATCH('[1]Lists and Calcs (Hidden)'!AJ65,'[1]Lists and Calcs (Hidden)'!$AB$34:$AB$732,0))="","",
                                    INDEX('[1]5. Assess Risks'!$B$6:$B$704,MATCH('[1]Lists and Calcs (Hidden)'!AJ65,'[1]Lists and Calcs (Hidden)'!$AB$34:$AB$732,0))
))</f>
        <v>TRA1.43 - ERP System - A malicious actor infects a system with malware disguised as a legitimate application. This malware modifies the system's startup scripts to automatically launch itself whenever the computer restarts. By embedding itself within the application functionality, the malware persists on the system and maintains the attacker's access.
In this scenario, the malware leverages the Applications component (itself) to establish persistence by manipulating startup configurations. The application itself becomes the tool for persistence.</v>
      </c>
      <c r="D41" s="90">
        <f>IF(C41="", "", '[1]2. Prepare'!$E$6)</f>
        <v>45033</v>
      </c>
      <c r="E41" s="91"/>
      <c r="F41" s="91"/>
      <c r="G41" s="91"/>
      <c r="H41" s="91"/>
      <c r="I41" s="89" t="str">
        <f>IF('[1]Lists and Calcs (Hidden)'!AJ65="","",
                    IF(INDEX('[1]5. Assess Risks'!$D$6:$D$704,MATCH('[1]Lists and Calcs (Hidden)'!AJ65,'[1]Lists and Calcs (Hidden)'!$AB$34:$AB$732,0))="","",
                                    INDEX('[1]5. Assess Risks'!$D$6:$D$704,MATCH('[1]Lists and Calcs (Hidden)'!AJ65,'[1]Lists and Calcs (Hidden)'!$AB$34:$AB$732,0))
))</f>
        <v>WAF, Email Filtering, Vulnerability Management Program, Application Safelisting, Security Awareness Training Program, Phishing Simulations, Firewall, Endpoint Detection and Response, Intrusion Detection and Protection, Data Loss Prevention.</v>
      </c>
      <c r="J41" s="91"/>
      <c r="K41" s="91"/>
      <c r="L41" s="91"/>
      <c r="M41" s="91"/>
      <c r="N41" s="91"/>
      <c r="O41" s="91"/>
      <c r="P41" s="92" t="str">
        <f>IF('[1]Lists and Calcs (Hidden)'!AJ65="","",
                    IF(INDEX('[1]5. Assess Risks'!$G$6:$G$704,MATCH('[1]Lists and Calcs (Hidden)'!AJ65,'[1]Lists and Calcs (Hidden)'!$AB$34:$AB$732,0))="","",
                                    INDEX('[1]5. Assess Risks'!$G$6:$G$704,MATCH('[1]Lists and Calcs (Hidden)'!AJ65,'[1]Lists and Calcs (Hidden)'!$AB$34:$AB$732,0))
))</f>
        <v>Possible</v>
      </c>
      <c r="Q41" s="92" t="str">
        <f>IF('[1]Lists and Calcs (Hidden)'!AJ65="","",
                    IF(INDEX('[1]5. Assess Risks'!$H$6:$H$704,MATCH('[1]Lists and Calcs (Hidden)'!AJ65,'[1]Lists and Calcs (Hidden)'!$AB$34:$AB$732,0))="","",
                                    INDEX('[1]5. Assess Risks'!$H$6:$H$704,MATCH('[1]Lists and Calcs (Hidden)'!AJ65,'[1]Lists and Calcs (Hidden)'!$AB$34:$AB$732,0))
))</f>
        <v>Moderate</v>
      </c>
      <c r="R41" s="93" t="str">
        <f>IFERROR(IF('[1]2. Prepare'!$O$50="Quantitative",INDEX('[1]Lists and Calcs (Hidden)'!$M$12:$Q$16,MATCH('[1]6. Risk Register Integration'!P41,'[1]Lists and Calcs (Hidden)'!$K$12:$K$16,0),MATCH('[1]6. Risk Register Integration'!Q41,'[1]Lists and Calcs (Hidden)'!$M$10:$Q$10,0)),INDEX('[1]Lists and Calcs (Hidden)'!$Z$12:$AD$16,MATCH('[1]6. Risk Register Integration'!P41,'[1]Lists and Calcs (Hidden)'!$X$12:$X$16,0),MATCH('[1]6. Risk Register Integration'!Q41,'[1]Lists and Calcs (Hidden)'!$Z$10:$AD$10,0))),"")</f>
        <v>Medium</v>
      </c>
      <c r="S41" s="94" t="str">
        <f>IF('[1]Lists and Calcs (Hidden)'!AJ65="","",
                    IF(INDEX('[1]5. Assess Risks'!$J$6:$J$704,MATCH('[1]Lists and Calcs (Hidden)'!AJ65,'[1]Lists and Calcs (Hidden)'!$AB$34:$AB$732,0))="","",
                                    INDEX('[1]5. Assess Risks'!$J$6:$J$704,MATCH('[1]Lists and Calcs (Hidden)'!AJ65,'[1]Lists and Calcs (Hidden)'!$AB$34:$AB$732,0))
))</f>
        <v>No New Actions Needed</v>
      </c>
      <c r="T41" s="102"/>
      <c r="U41" s="105"/>
      <c r="V41" s="106"/>
      <c r="W41" s="105"/>
      <c r="X41" s="105"/>
      <c r="Y41" s="89" t="str">
        <f>IF('[1]Lists and Calcs (Hidden)'!AJ65="","",
                    IF(INDEX('[1]5. Assess Risks'!$L$6:$L$704,MATCH('[1]Lists and Calcs (Hidden)'!AJ65,'[1]Lists and Calcs (Hidden)'!$AB$34:$AB$732,0))="","",
                                    INDEX('[1]5. Assess Risks'!$L$6:$L$704,MATCH('[1]Lists and Calcs (Hidden)'!AJ65,'[1]Lists and Calcs (Hidden)'!$AB$34:$AB$732,0))
))</f>
        <v>Source of residual risk: Sensitive data, evasion tactics, and existing controls have a pre-compromise focus.
Potential additional controls: File integrity monitoring, least privilege.</v>
      </c>
      <c r="Z41" s="95"/>
      <c r="AA41" s="96"/>
      <c r="AB41" s="85"/>
      <c r="AC41" s="86"/>
      <c r="AD41" s="87" t="str">
        <f>IFERROR(IF('[1]2. Prepare'!$O$50="Quantitative",INDEX('[1]Lists and Calcs (Hidden)'!$M$12:$Q$16,MATCH('[1]6. Risk Register Integration'!AB41,'[1]Lists and Calcs (Hidden)'!$K$12:$K$16,0),MATCH('[1]6. Risk Register Integration'!AC41,'[1]Lists and Calcs (Hidden)'!$M$10:$Q$10,0)),INDEX('[1]Lists and Calcs (Hidden)'!$Z$12:$AD$16,MATCH('[1]6. Risk Register Integration'!AB41,'[1]Lists and Calcs (Hidden)'!$X$12:$X$16,0),MATCH('[1]6. Risk Register Integration'!AC41,'[1]Lists and Calcs (Hidden)'!$Z$10:$AD$10,0))),"")</f>
        <v/>
      </c>
      <c r="AE41" s="54"/>
      <c r="AF41" s="4"/>
      <c r="AG41" s="4"/>
    </row>
    <row r="42" spans="2:33" ht="330" customHeight="1" x14ac:dyDescent="0.2">
      <c r="B42" s="107"/>
      <c r="C42" s="98" t="str">
        <f>IF('[1]Lists and Calcs (Hidden)'!AJ66="","",
                    IF(INDEX('[1]5. Assess Risks'!$B$6:$B$704,MATCH('[1]Lists and Calcs (Hidden)'!AJ66,'[1]Lists and Calcs (Hidden)'!$AB$34:$AB$732,0))="","",
                                    INDEX('[1]5. Assess Risks'!$B$6:$B$704,MATCH('[1]Lists and Calcs (Hidden)'!AJ66,'[1]Lists and Calcs (Hidden)'!$AB$34:$AB$732,0))
))</f>
        <v>TRA1.44 - ERP System - An attacker discovers a vulnerability in a software application with elevated privileges. By exploiting this vulnerability, the attacker can potentially execute arbitrary code within the application context. This code could then leverage the application's inherent permissions to perform actions beyond its normal function, such as accessing restricted files or modifying system settings. Essentially, the attacker uses the application itself as a stepping stone to gain higher privileges within the system.</v>
      </c>
      <c r="D42" s="90">
        <f>IF(C42="", "", '[1]2. Prepare'!$E$6)</f>
        <v>45033</v>
      </c>
      <c r="E42" s="91"/>
      <c r="F42" s="91"/>
      <c r="G42" s="91"/>
      <c r="H42" s="91"/>
      <c r="I42" s="98" t="str">
        <f>IF('[1]Lists and Calcs (Hidden)'!AJ66="","",
                    IF(INDEX('[1]5. Assess Risks'!$D$6:$D$704,MATCH('[1]Lists and Calcs (Hidden)'!AJ66,'[1]Lists and Calcs (Hidden)'!$AB$34:$AB$732,0))="","",
                                    INDEX('[1]5. Assess Risks'!$D$6:$D$704,MATCH('[1]Lists and Calcs (Hidden)'!AJ66,'[1]Lists and Calcs (Hidden)'!$AB$34:$AB$732,0))
))</f>
        <v>WAF, Email Filtering, Vulnerability Management Program, Application Safelisting, Security Awareness Training Program, Phishing Simulations, Firewall, Endpoint Detection and Response, Intrusion Detection and Protection, Data Loss Prevention.</v>
      </c>
      <c r="J42" s="91"/>
      <c r="K42" s="91"/>
      <c r="L42" s="91"/>
      <c r="M42" s="91"/>
      <c r="N42" s="91"/>
      <c r="O42" s="91"/>
      <c r="P42" s="99" t="str">
        <f>IF('[1]Lists and Calcs (Hidden)'!AJ66="","",
                    IF(INDEX('[1]5. Assess Risks'!$G$6:$G$704,MATCH('[1]Lists and Calcs (Hidden)'!AJ66,'[1]Lists and Calcs (Hidden)'!$AB$34:$AB$732,0))="","",
                                    INDEX('[1]5. Assess Risks'!$G$6:$G$704,MATCH('[1]Lists and Calcs (Hidden)'!AJ66,'[1]Lists and Calcs (Hidden)'!$AB$34:$AB$732,0))
))</f>
        <v>Possible</v>
      </c>
      <c r="Q42" s="99" t="str">
        <f>IF('[1]Lists and Calcs (Hidden)'!AJ66="","",
                    IF(INDEX('[1]5. Assess Risks'!$H$6:$H$704,MATCH('[1]Lists and Calcs (Hidden)'!AJ66,'[1]Lists and Calcs (Hidden)'!$AB$34:$AB$732,0))="","",
                                    INDEX('[1]5. Assess Risks'!$H$6:$H$704,MATCH('[1]Lists and Calcs (Hidden)'!AJ66,'[1]Lists and Calcs (Hidden)'!$AB$34:$AB$732,0))
))</f>
        <v>Major</v>
      </c>
      <c r="R42" s="100" t="str">
        <f>IFERROR(IF('[1]2. Prepare'!$O$50="Quantitative",INDEX('[1]Lists and Calcs (Hidden)'!$M$12:$Q$16,MATCH('[1]6. Risk Register Integration'!P42,'[1]Lists and Calcs (Hidden)'!$K$12:$K$16,0),MATCH('[1]6. Risk Register Integration'!Q42,'[1]Lists and Calcs (Hidden)'!$M$10:$Q$10,0)),INDEX('[1]Lists and Calcs (Hidden)'!$Z$12:$AD$16,MATCH('[1]6. Risk Register Integration'!P42,'[1]Lists and Calcs (Hidden)'!$X$12:$X$16,0),MATCH('[1]6. Risk Register Integration'!Q42,'[1]Lists and Calcs (Hidden)'!$Z$10:$AD$10,0))),"")</f>
        <v>Medium</v>
      </c>
      <c r="S42" s="101" t="str">
        <f>IF('[1]Lists and Calcs (Hidden)'!AJ66="","",
                    IF(INDEX('[1]5. Assess Risks'!$J$6:$J$704,MATCH('[1]Lists and Calcs (Hidden)'!AJ66,'[1]Lists and Calcs (Hidden)'!$AB$34:$AB$732,0))="","",
                                    INDEX('[1]5. Assess Risks'!$J$6:$J$704,MATCH('[1]Lists and Calcs (Hidden)'!AJ66,'[1]Lists and Calcs (Hidden)'!$AB$34:$AB$732,0))
))</f>
        <v>Formally Accept the Risk</v>
      </c>
      <c r="T42" s="102"/>
      <c r="U42" s="105"/>
      <c r="V42" s="106"/>
      <c r="W42" s="105"/>
      <c r="X42" s="105"/>
      <c r="Y42" s="98" t="str">
        <f>IF('[1]Lists and Calcs (Hidden)'!AJ66="","",
                    IF(INDEX('[1]5. Assess Risks'!$L$6:$L$704,MATCH('[1]Lists and Calcs (Hidden)'!AJ66,'[1]Lists and Calcs (Hidden)'!$AB$34:$AB$732,0))="","",
                                    INDEX('[1]5. Assess Risks'!$L$6:$L$704,MATCH('[1]Lists and Calcs (Hidden)'!AJ66,'[1]Lists and Calcs (Hidden)'!$AB$34:$AB$732,0))
))</f>
        <v>Source of residual risk: Ransomware, skilled attackers, zero-days.
Potential additional controls: Offline backups, incident response planning, least privilege.</v>
      </c>
      <c r="Z42" s="95"/>
      <c r="AA42" s="96"/>
      <c r="AB42" s="85"/>
      <c r="AC42" s="86"/>
      <c r="AD42" s="87" t="str">
        <f>IFERROR(IF('[1]2. Prepare'!$O$50="Quantitative",INDEX('[1]Lists and Calcs (Hidden)'!$M$12:$Q$16,MATCH('[1]6. Risk Register Integration'!AB42,'[1]Lists and Calcs (Hidden)'!$K$12:$K$16,0),MATCH('[1]6. Risk Register Integration'!AC42,'[1]Lists and Calcs (Hidden)'!$M$10:$Q$10,0)),INDEX('[1]Lists and Calcs (Hidden)'!$Z$12:$AD$16,MATCH('[1]6. Risk Register Integration'!AB42,'[1]Lists and Calcs (Hidden)'!$X$12:$X$16,0),MATCH('[1]6. Risk Register Integration'!AC42,'[1]Lists and Calcs (Hidden)'!$Z$10:$AD$10,0))),"")</f>
        <v/>
      </c>
      <c r="AE42" s="54"/>
      <c r="AF42" s="4"/>
      <c r="AG42" s="4"/>
    </row>
    <row r="43" spans="2:33" ht="330" customHeight="1" x14ac:dyDescent="0.2">
      <c r="B43" s="107"/>
      <c r="C43" s="89" t="str">
        <f>IF('[1]Lists and Calcs (Hidden)'!AJ67="","",
                    IF(INDEX('[1]5. Assess Risks'!$B$6:$B$704,MATCH('[1]Lists and Calcs (Hidden)'!AJ67,'[1]Lists and Calcs (Hidden)'!$AB$34:$AB$732,0))="","",
                                    INDEX('[1]5. Assess Risks'!$B$6:$B$704,MATCH('[1]Lists and Calcs (Hidden)'!AJ67,'[1]Lists and Calcs (Hidden)'!$AB$34:$AB$732,0))
))</f>
        <v>TRA1.45 - ERP System - An attacker infects a system with malware that hides within a legitimate application process. The malware injects its code into the application and manipulates its behavior to make it appear legitimate to security software. This obfuscation technique helps the malware evade detection and continue its malicious activity.
In this instance, the malware uses the application to camouflage itself and avoid standard security measures. The application itself becomes a tool for defense evasion.</v>
      </c>
      <c r="D43" s="90">
        <f>IF(C43="", "", '[1]2. Prepare'!$E$6)</f>
        <v>45033</v>
      </c>
      <c r="E43" s="91"/>
      <c r="F43" s="91"/>
      <c r="G43" s="91"/>
      <c r="H43" s="91"/>
      <c r="I43" s="89" t="str">
        <f>IF('[1]Lists and Calcs (Hidden)'!AJ67="","",
                    IF(INDEX('[1]5. Assess Risks'!$D$6:$D$704,MATCH('[1]Lists and Calcs (Hidden)'!AJ67,'[1]Lists and Calcs (Hidden)'!$AB$34:$AB$732,0))="","",
                                    INDEX('[1]5. Assess Risks'!$D$6:$D$704,MATCH('[1]Lists and Calcs (Hidden)'!AJ67,'[1]Lists and Calcs (Hidden)'!$AB$34:$AB$732,0))
))</f>
        <v>WAF, Email Filtering, Vulnerability Management Program, Application Safelisting, Security Awareness Training Program, Phishing Simulations, Firewall, Endpoint Detection and Response, Intrusion Detection and Protection, Data Loss Prevention.</v>
      </c>
      <c r="J43" s="91"/>
      <c r="K43" s="91"/>
      <c r="L43" s="91"/>
      <c r="M43" s="91"/>
      <c r="N43" s="91"/>
      <c r="O43" s="91"/>
      <c r="P43" s="92" t="str">
        <f>IF('[1]Lists and Calcs (Hidden)'!AJ67="","",
                    IF(INDEX('[1]5. Assess Risks'!$G$6:$G$704,MATCH('[1]Lists and Calcs (Hidden)'!AJ67,'[1]Lists and Calcs (Hidden)'!$AB$34:$AB$732,0))="","",
                                    INDEX('[1]5. Assess Risks'!$G$6:$G$704,MATCH('[1]Lists and Calcs (Hidden)'!AJ67,'[1]Lists and Calcs (Hidden)'!$AB$34:$AB$732,0))
))</f>
        <v>Likely</v>
      </c>
      <c r="Q43" s="92" t="str">
        <f>IF('[1]Lists and Calcs (Hidden)'!AJ67="","",
                    IF(INDEX('[1]5. Assess Risks'!$H$6:$H$704,MATCH('[1]Lists and Calcs (Hidden)'!AJ67,'[1]Lists and Calcs (Hidden)'!$AB$34:$AB$732,0))="","",
                                    INDEX('[1]5. Assess Risks'!$H$6:$H$704,MATCH('[1]Lists and Calcs (Hidden)'!AJ67,'[1]Lists and Calcs (Hidden)'!$AB$34:$AB$732,0))
))</f>
        <v>Moderate</v>
      </c>
      <c r="R43" s="93" t="str">
        <f>IFERROR(IF('[1]2. Prepare'!$O$50="Quantitative",INDEX('[1]Lists and Calcs (Hidden)'!$M$12:$Q$16,MATCH('[1]6. Risk Register Integration'!P43,'[1]Lists and Calcs (Hidden)'!$K$12:$K$16,0),MATCH('[1]6. Risk Register Integration'!Q43,'[1]Lists and Calcs (Hidden)'!$M$10:$Q$10,0)),INDEX('[1]Lists and Calcs (Hidden)'!$Z$12:$AD$16,MATCH('[1]6. Risk Register Integration'!P43,'[1]Lists and Calcs (Hidden)'!$X$12:$X$16,0),MATCH('[1]6. Risk Register Integration'!Q43,'[1]Lists and Calcs (Hidden)'!$Z$10:$AD$10,0))),"")</f>
        <v>Medium</v>
      </c>
      <c r="S43" s="94" t="str">
        <f>IF('[1]Lists and Calcs (Hidden)'!AJ67="","",
                    IF(INDEX('[1]5. Assess Risks'!$J$6:$J$704,MATCH('[1]Lists and Calcs (Hidden)'!AJ67,'[1]Lists and Calcs (Hidden)'!$AB$34:$AB$732,0))="","",
                                    INDEX('[1]5. Assess Risks'!$J$6:$J$704,MATCH('[1]Lists and Calcs (Hidden)'!AJ67,'[1]Lists and Calcs (Hidden)'!$AB$34:$AB$732,0))
))</f>
        <v>Formally Accept the Risk</v>
      </c>
      <c r="T43" s="102"/>
      <c r="U43" s="105"/>
      <c r="V43" s="106"/>
      <c r="W43" s="105"/>
      <c r="X43" s="105"/>
      <c r="Y43" s="89" t="str">
        <f>IF('[1]Lists and Calcs (Hidden)'!AJ67="","",
                    IF(INDEX('[1]5. Assess Risks'!$L$6:$L$704,MATCH('[1]Lists and Calcs (Hidden)'!AJ67,'[1]Lists and Calcs (Hidden)'!$AB$34:$AB$732,0))="","",
                                    INDEX('[1]5. Assess Risks'!$L$6:$L$704,MATCH('[1]Lists and Calcs (Hidden)'!AJ67,'[1]Lists and Calcs (Hidden)'!$AB$34:$AB$732,0))
))</f>
        <v>Source of residual risk: easy to carry out.
Potential additional controls: Application hardening, network traffic analysis, threat intelligence.</v>
      </c>
      <c r="Z43" s="95"/>
      <c r="AA43" s="96"/>
      <c r="AB43" s="85"/>
      <c r="AC43" s="86"/>
      <c r="AD43" s="87" t="str">
        <f>IFERROR(IF('[1]2. Prepare'!$O$50="Quantitative",INDEX('[1]Lists and Calcs (Hidden)'!$M$12:$Q$16,MATCH('[1]6. Risk Register Integration'!AB43,'[1]Lists and Calcs (Hidden)'!$K$12:$K$16,0),MATCH('[1]6. Risk Register Integration'!AC43,'[1]Lists and Calcs (Hidden)'!$M$10:$Q$10,0)),INDEX('[1]Lists and Calcs (Hidden)'!$Z$12:$AD$16,MATCH('[1]6. Risk Register Integration'!AB43,'[1]Lists and Calcs (Hidden)'!$X$12:$X$16,0),MATCH('[1]6. Risk Register Integration'!AC43,'[1]Lists and Calcs (Hidden)'!$Z$10:$AD$10,0))),"")</f>
        <v/>
      </c>
      <c r="AE43" s="54"/>
      <c r="AF43" s="4"/>
      <c r="AG43" s="4"/>
    </row>
    <row r="44" spans="2:33" ht="330" customHeight="1" x14ac:dyDescent="0.2">
      <c r="B44" s="108"/>
      <c r="C44" s="98" t="str">
        <f>IF('[1]Lists and Calcs (Hidden)'!AJ68="","",
                    IF(INDEX('[1]5. Assess Risks'!$B$6:$B$704,MATCH('[1]Lists and Calcs (Hidden)'!AJ68,'[1]Lists and Calcs (Hidden)'!$AB$34:$AB$732,0))="","",
                                    INDEX('[1]5. Assess Risks'!$B$6:$B$704,MATCH('[1]Lists and Calcs (Hidden)'!AJ68,'[1]Lists and Calcs (Hidden)'!$AB$34:$AB$732,0))
))</f>
        <v>TRA1.47 - ERP System - A malicious application is installed on a user's machine. This application logs keystrokes or monitors user activity within the application itself. The collected data, which could include usernames, passwords, or other sensitive information, is then sent back to the attacker.
In this instance, the application (the Applications component) acts as a tool for data collection by capturing information directly from user interaction within the application.</v>
      </c>
      <c r="D44" s="90">
        <f>IF(C44="", "", '[1]2. Prepare'!$E$6)</f>
        <v>45033</v>
      </c>
      <c r="E44" s="91"/>
      <c r="F44" s="91"/>
      <c r="G44" s="91"/>
      <c r="H44" s="91"/>
      <c r="I44" s="98" t="str">
        <f>IF('[1]Lists and Calcs (Hidden)'!AJ68="","",
                    IF(INDEX('[1]5. Assess Risks'!$D$6:$D$704,MATCH('[1]Lists and Calcs (Hidden)'!AJ68,'[1]Lists and Calcs (Hidden)'!$AB$34:$AB$732,0))="","",
                                    INDEX('[1]5. Assess Risks'!$D$6:$D$704,MATCH('[1]Lists and Calcs (Hidden)'!AJ68,'[1]Lists and Calcs (Hidden)'!$AB$34:$AB$732,0))
))</f>
        <v>WAF, Email Filtering, Vulnerability Management Program, Application Safelisting, Security Awareness Training Program, Phishing Simulations, Firewall, Endpoint Detection and Response, Intrusion Detection and Protection, Data Loss Prevention.</v>
      </c>
      <c r="J44" s="91"/>
      <c r="K44" s="91"/>
      <c r="L44" s="91"/>
      <c r="M44" s="91"/>
      <c r="N44" s="91"/>
      <c r="O44" s="91"/>
      <c r="P44" s="99" t="str">
        <f>IF('[1]Lists and Calcs (Hidden)'!AJ68="","",
                    IF(INDEX('[1]5. Assess Risks'!$G$6:$G$704,MATCH('[1]Lists and Calcs (Hidden)'!AJ68,'[1]Lists and Calcs (Hidden)'!$AB$34:$AB$732,0))="","",
                                    INDEX('[1]5. Assess Risks'!$G$6:$G$704,MATCH('[1]Lists and Calcs (Hidden)'!AJ68,'[1]Lists and Calcs (Hidden)'!$AB$34:$AB$732,0))
))</f>
        <v>Likely</v>
      </c>
      <c r="Q44" s="99" t="str">
        <f>IF('[1]Lists and Calcs (Hidden)'!AJ68="","",
                    IF(INDEX('[1]5. Assess Risks'!$H$6:$H$704,MATCH('[1]Lists and Calcs (Hidden)'!AJ68,'[1]Lists and Calcs (Hidden)'!$AB$34:$AB$732,0))="","",
                                    INDEX('[1]5. Assess Risks'!$H$6:$H$704,MATCH('[1]Lists and Calcs (Hidden)'!AJ68,'[1]Lists and Calcs (Hidden)'!$AB$34:$AB$732,0))
))</f>
        <v>Moderate</v>
      </c>
      <c r="R44" s="100" t="str">
        <f>IFERROR(IF('[1]2. Prepare'!$O$50="Quantitative",INDEX('[1]Lists and Calcs (Hidden)'!$M$12:$Q$16,MATCH('[1]6. Risk Register Integration'!P44,'[1]Lists and Calcs (Hidden)'!$K$12:$K$16,0),MATCH('[1]6. Risk Register Integration'!Q44,'[1]Lists and Calcs (Hidden)'!$M$10:$Q$10,0)),INDEX('[1]Lists and Calcs (Hidden)'!$Z$12:$AD$16,MATCH('[1]6. Risk Register Integration'!P44,'[1]Lists and Calcs (Hidden)'!$X$12:$X$16,0),MATCH('[1]6. Risk Register Integration'!Q44,'[1]Lists and Calcs (Hidden)'!$Z$10:$AD$10,0))),"")</f>
        <v>Medium</v>
      </c>
      <c r="S44" s="101" t="str">
        <f>IF('[1]Lists and Calcs (Hidden)'!AJ68="","",
                    IF(INDEX('[1]5. Assess Risks'!$J$6:$J$704,MATCH('[1]Lists and Calcs (Hidden)'!AJ68,'[1]Lists and Calcs (Hidden)'!$AB$34:$AB$732,0))="","",
                                    INDEX('[1]5. Assess Risks'!$J$6:$J$704,MATCH('[1]Lists and Calcs (Hidden)'!AJ68,'[1]Lists and Calcs (Hidden)'!$AB$34:$AB$732,0))
))</f>
        <v>Formally Accept the Risk</v>
      </c>
      <c r="T44" s="102"/>
      <c r="U44" s="105"/>
      <c r="V44" s="106"/>
      <c r="W44" s="105"/>
      <c r="X44" s="105"/>
      <c r="Y44" s="98" t="str">
        <f>IF('[1]Lists and Calcs (Hidden)'!AJ68="","",
                    IF(INDEX('[1]5. Assess Risks'!$L$6:$L$704,MATCH('[1]Lists and Calcs (Hidden)'!AJ68,'[1]Lists and Calcs (Hidden)'!$AB$34:$AB$732,0))="","",
                                    INDEX('[1]5. Assess Risks'!$L$6:$L$704,MATCH('[1]Lists and Calcs (Hidden)'!AJ68,'[1]Lists and Calcs (Hidden)'!$AB$34:$AB$732,0))
))</f>
        <v>Source of residual risk: Living off the land, evasion.
Potential additional controls: Behavioral detection, least privilege, application hardening, microsegmentation.</v>
      </c>
      <c r="Z44" s="95"/>
      <c r="AA44" s="96"/>
      <c r="AB44" s="85"/>
      <c r="AC44" s="86"/>
      <c r="AD44" s="87" t="str">
        <f>IFERROR(IF('[1]2. Prepare'!$O$50="Quantitative",INDEX('[1]Lists and Calcs (Hidden)'!$M$12:$Q$16,MATCH('[1]6. Risk Register Integration'!AB44,'[1]Lists and Calcs (Hidden)'!$K$12:$K$16,0),MATCH('[1]6. Risk Register Integration'!AC44,'[1]Lists and Calcs (Hidden)'!$M$10:$Q$10,0)),INDEX('[1]Lists and Calcs (Hidden)'!$Z$12:$AD$16,MATCH('[1]6. Risk Register Integration'!AB44,'[1]Lists and Calcs (Hidden)'!$X$12:$X$16,0),MATCH('[1]6. Risk Register Integration'!AC44,'[1]Lists and Calcs (Hidden)'!$Z$10:$AD$10,0))),"")</f>
        <v/>
      </c>
      <c r="AE44" s="54"/>
      <c r="AF44" s="4"/>
      <c r="AG44" s="4"/>
    </row>
    <row r="45" spans="2:33" ht="330" customHeight="1" x14ac:dyDescent="0.2">
      <c r="B45" s="107"/>
      <c r="C45" s="89" t="str">
        <f>IF('[1]Lists and Calcs (Hidden)'!AJ69="","",
                    IF(INDEX('[1]5. Assess Risks'!$B$6:$B$704,MATCH('[1]Lists and Calcs (Hidden)'!AJ69,'[1]Lists and Calcs (Hidden)'!$AB$34:$AB$732,0))="","",
                                    INDEX('[1]5. Assess Risks'!$B$6:$B$704,MATCH('[1]Lists and Calcs (Hidden)'!AJ69,'[1]Lists and Calcs (Hidden)'!$AB$34:$AB$732,0))
))</f>
        <v>TRA1.48 - ERP System - An attacker compromises a legitimate-looking application by modifying it to establish a covert communication channel with a remote server under their control. This allows the attacker to send commands to the application for malicious purposes like downloading additional malware, stealing data, or launching attacks on other systems.
The compromised application is a tool for the attacker to maintain C2 by receiving instructions and potentially exfiltrating data. The application itself facilitates communications between the attacker and the infected system.</v>
      </c>
      <c r="D45" s="90">
        <f>IF(C45="", "", '[1]2. Prepare'!$E$6)</f>
        <v>45033</v>
      </c>
      <c r="E45" s="91"/>
      <c r="F45" s="91"/>
      <c r="G45" s="91"/>
      <c r="H45" s="91"/>
      <c r="I45" s="89" t="str">
        <f>IF('[1]Lists and Calcs (Hidden)'!AJ69="","",
                    IF(INDEX('[1]5. Assess Risks'!$D$6:$D$704,MATCH('[1]Lists and Calcs (Hidden)'!AJ69,'[1]Lists and Calcs (Hidden)'!$AB$34:$AB$732,0))="","",
                                    INDEX('[1]5. Assess Risks'!$D$6:$D$704,MATCH('[1]Lists and Calcs (Hidden)'!AJ69,'[1]Lists and Calcs (Hidden)'!$AB$34:$AB$732,0))
))</f>
        <v>WAF, Email Filtering, Vulnerability Management Program, Application Safelisting, Security Awareness Training Program, Phishing Simulations, Firewall, Endpoint Detection and Response, Intrusion Detection and Protection, Data Loss Prevention.</v>
      </c>
      <c r="J45" s="91"/>
      <c r="K45" s="91"/>
      <c r="L45" s="91"/>
      <c r="M45" s="91"/>
      <c r="N45" s="91"/>
      <c r="O45" s="91"/>
      <c r="P45" s="92" t="str">
        <f>IF('[1]Lists and Calcs (Hidden)'!AJ69="","",
                    IF(INDEX('[1]5. Assess Risks'!$G$6:$G$704,MATCH('[1]Lists and Calcs (Hidden)'!AJ69,'[1]Lists and Calcs (Hidden)'!$AB$34:$AB$732,0))="","",
                                    INDEX('[1]5. Assess Risks'!$G$6:$G$704,MATCH('[1]Lists and Calcs (Hidden)'!AJ69,'[1]Lists and Calcs (Hidden)'!$AB$34:$AB$732,0))
))</f>
        <v>Likely</v>
      </c>
      <c r="Q45" s="92" t="str">
        <f>IF('[1]Lists and Calcs (Hidden)'!AJ69="","",
                    IF(INDEX('[1]5. Assess Risks'!$H$6:$H$704,MATCH('[1]Lists and Calcs (Hidden)'!AJ69,'[1]Lists and Calcs (Hidden)'!$AB$34:$AB$732,0))="","",
                                    INDEX('[1]5. Assess Risks'!$H$6:$H$704,MATCH('[1]Lists and Calcs (Hidden)'!AJ69,'[1]Lists and Calcs (Hidden)'!$AB$34:$AB$732,0))
))</f>
        <v>Moderate</v>
      </c>
      <c r="R45" s="93" t="str">
        <f>IFERROR(IF('[1]2. Prepare'!$O$50="Quantitative",INDEX('[1]Lists and Calcs (Hidden)'!$M$12:$Q$16,MATCH('[1]6. Risk Register Integration'!P45,'[1]Lists and Calcs (Hidden)'!$K$12:$K$16,0),MATCH('[1]6. Risk Register Integration'!Q45,'[1]Lists and Calcs (Hidden)'!$M$10:$Q$10,0)),INDEX('[1]Lists and Calcs (Hidden)'!$Z$12:$AD$16,MATCH('[1]6. Risk Register Integration'!P45,'[1]Lists and Calcs (Hidden)'!$X$12:$X$16,0),MATCH('[1]6. Risk Register Integration'!Q45,'[1]Lists and Calcs (Hidden)'!$Z$10:$AD$10,0))),"")</f>
        <v>Medium</v>
      </c>
      <c r="S45" s="94" t="str">
        <f>IF('[1]Lists and Calcs (Hidden)'!AJ69="","",
                    IF(INDEX('[1]5. Assess Risks'!$J$6:$J$704,MATCH('[1]Lists and Calcs (Hidden)'!AJ69,'[1]Lists and Calcs (Hidden)'!$AB$34:$AB$732,0))="","",
                                    INDEX('[1]5. Assess Risks'!$J$6:$J$704,MATCH('[1]Lists and Calcs (Hidden)'!AJ69,'[1]Lists and Calcs (Hidden)'!$AB$34:$AB$732,0))
))</f>
        <v>Formally Accept the Risk</v>
      </c>
      <c r="T45" s="102"/>
      <c r="U45" s="105"/>
      <c r="V45" s="106"/>
      <c r="W45" s="105"/>
      <c r="X45" s="105"/>
      <c r="Y45" s="89" t="str">
        <f>IF('[1]Lists and Calcs (Hidden)'!AJ69="","",
                    IF(INDEX('[1]5. Assess Risks'!$L$6:$L$704,MATCH('[1]Lists and Calcs (Hidden)'!AJ69,'[1]Lists and Calcs (Hidden)'!$AB$34:$AB$732,0))="","",
                                    INDEX('[1]5. Assess Risks'!$L$6:$L$704,MATCH('[1]Lists and Calcs (Hidden)'!AJ69,'[1]Lists and Calcs (Hidden)'!$AB$34:$AB$732,0))
))</f>
        <v xml:space="preserve">Source of residual risk: easy to carry out.
Potential additional controls: Application hardening, file integrity monitoring, behavioral detection. </v>
      </c>
      <c r="Z45" s="95"/>
      <c r="AA45" s="96"/>
      <c r="AB45" s="85"/>
      <c r="AC45" s="86"/>
      <c r="AD45" s="87" t="str">
        <f>IFERROR(IF('[1]2. Prepare'!$O$50="Quantitative",INDEX('[1]Lists and Calcs (Hidden)'!$M$12:$Q$16,MATCH('[1]6. Risk Register Integration'!AB45,'[1]Lists and Calcs (Hidden)'!$K$12:$K$16,0),MATCH('[1]6. Risk Register Integration'!AC45,'[1]Lists and Calcs (Hidden)'!$M$10:$Q$10,0)),INDEX('[1]Lists and Calcs (Hidden)'!$Z$12:$AD$16,MATCH('[1]6. Risk Register Integration'!AB45,'[1]Lists and Calcs (Hidden)'!$X$12:$X$16,0),MATCH('[1]6. Risk Register Integration'!AC45,'[1]Lists and Calcs (Hidden)'!$Z$10:$AD$10,0))),"")</f>
        <v/>
      </c>
      <c r="AE45" s="54"/>
      <c r="AF45" s="4"/>
      <c r="AG45" s="4"/>
    </row>
    <row r="46" spans="2:33" ht="330" customHeight="1" x14ac:dyDescent="0.2">
      <c r="B46" s="107"/>
      <c r="C46" s="98" t="str">
        <f>IF('[1]Lists and Calcs (Hidden)'!AJ70="","",
                    IF(INDEX('[1]5. Assess Risks'!$B$6:$B$704,MATCH('[1]Lists and Calcs (Hidden)'!AJ70,'[1]Lists and Calcs (Hidden)'!$AB$34:$AB$732,0))="","",
                                    INDEX('[1]5. Assess Risks'!$B$6:$B$704,MATCH('[1]Lists and Calcs (Hidden)'!AJ70,'[1]Lists and Calcs (Hidden)'!$AB$34:$AB$732,0))
))</f>
        <v>TRA1.49 - ERP System - A malicious application is installed on a system. This application steals sensitive data like credit card numbers or documents stored locally. The application then transmits this stolen data to the attacker's server over the internet.
In this instance, the application (the Applications component) acts as the tool for exfiltration by directly transmitting sensitive information collected from the system. The application itself facilitates the unauthorized transfer of data.</v>
      </c>
      <c r="D46" s="90">
        <f>IF(C46="", "", '[1]2. Prepare'!$E$6)</f>
        <v>45033</v>
      </c>
      <c r="E46" s="91"/>
      <c r="F46" s="91"/>
      <c r="G46" s="91"/>
      <c r="H46" s="91"/>
      <c r="I46" s="98" t="str">
        <f>IF('[1]Lists and Calcs (Hidden)'!AJ70="","",
                    IF(INDEX('[1]5. Assess Risks'!$D$6:$D$704,MATCH('[1]Lists and Calcs (Hidden)'!AJ70,'[1]Lists and Calcs (Hidden)'!$AB$34:$AB$732,0))="","",
                                    INDEX('[1]5. Assess Risks'!$D$6:$D$704,MATCH('[1]Lists and Calcs (Hidden)'!AJ70,'[1]Lists and Calcs (Hidden)'!$AB$34:$AB$732,0))
))</f>
        <v>WAF, Email Filtering, Vulnerability Management Program, Application Safelisting, Security Awareness Training Program, Phishing Simulations, Firewall, Endpoint Detection and Response, Intrusion Detection and Protection, Data Loss Prevention.</v>
      </c>
      <c r="J46" s="91"/>
      <c r="K46" s="91"/>
      <c r="L46" s="91"/>
      <c r="M46" s="91"/>
      <c r="N46" s="91"/>
      <c r="O46" s="91"/>
      <c r="P46" s="99" t="str">
        <f>IF('[1]Lists and Calcs (Hidden)'!AJ70="","",
                    IF(INDEX('[1]5. Assess Risks'!$G$6:$G$704,MATCH('[1]Lists and Calcs (Hidden)'!AJ70,'[1]Lists and Calcs (Hidden)'!$AB$34:$AB$732,0))="","",
                                    INDEX('[1]5. Assess Risks'!$G$6:$G$704,MATCH('[1]Lists and Calcs (Hidden)'!AJ70,'[1]Lists and Calcs (Hidden)'!$AB$34:$AB$732,0))
))</f>
        <v>Possible</v>
      </c>
      <c r="Q46" s="99" t="str">
        <f>IF('[1]Lists and Calcs (Hidden)'!AJ70="","",
                    IF(INDEX('[1]5. Assess Risks'!$H$6:$H$704,MATCH('[1]Lists and Calcs (Hidden)'!AJ70,'[1]Lists and Calcs (Hidden)'!$AB$34:$AB$732,0))="","",
                                    INDEX('[1]5. Assess Risks'!$H$6:$H$704,MATCH('[1]Lists and Calcs (Hidden)'!AJ70,'[1]Lists and Calcs (Hidden)'!$AB$34:$AB$732,0))
))</f>
        <v>Major</v>
      </c>
      <c r="R46" s="100" t="str">
        <f>IFERROR(IF('[1]2. Prepare'!$O$50="Quantitative",INDEX('[1]Lists and Calcs (Hidden)'!$M$12:$Q$16,MATCH('[1]6. Risk Register Integration'!P46,'[1]Lists and Calcs (Hidden)'!$K$12:$K$16,0),MATCH('[1]6. Risk Register Integration'!Q46,'[1]Lists and Calcs (Hidden)'!$M$10:$Q$10,0)),INDEX('[1]Lists and Calcs (Hidden)'!$Z$12:$AD$16,MATCH('[1]6. Risk Register Integration'!P46,'[1]Lists and Calcs (Hidden)'!$X$12:$X$16,0),MATCH('[1]6. Risk Register Integration'!Q46,'[1]Lists and Calcs (Hidden)'!$Z$10:$AD$10,0))),"")</f>
        <v>Medium</v>
      </c>
      <c r="S46" s="101" t="str">
        <f>IF('[1]Lists and Calcs (Hidden)'!AJ70="","",
                    IF(INDEX('[1]5. Assess Risks'!$J$6:$J$704,MATCH('[1]Lists and Calcs (Hidden)'!AJ70,'[1]Lists and Calcs (Hidden)'!$AB$34:$AB$732,0))="","",
                                    INDEX('[1]5. Assess Risks'!$J$6:$J$704,MATCH('[1]Lists and Calcs (Hidden)'!AJ70,'[1]Lists and Calcs (Hidden)'!$AB$34:$AB$732,0))
))</f>
        <v>Formally Accept the Risk</v>
      </c>
      <c r="T46" s="102"/>
      <c r="U46" s="105"/>
      <c r="V46" s="106"/>
      <c r="W46" s="105"/>
      <c r="X46" s="105"/>
      <c r="Y46" s="98" t="str">
        <f>IF('[1]Lists and Calcs (Hidden)'!AJ70="","",
                    IF(INDEX('[1]5. Assess Risks'!$L$6:$L$704,MATCH('[1]Lists and Calcs (Hidden)'!AJ70,'[1]Lists and Calcs (Hidden)'!$AB$34:$AB$732,0))="","",
                                    INDEX('[1]5. Assess Risks'!$L$6:$L$704,MATCH('[1]Lists and Calcs (Hidden)'!AJ70,'[1]Lists and Calcs (Hidden)'!$AB$34:$AB$732,0))
))</f>
        <v>Potential additional control: Least privilege, application hardening, code review and security testing.</v>
      </c>
      <c r="Z46" s="95"/>
      <c r="AA46" s="96"/>
      <c r="AB46" s="85"/>
      <c r="AC46" s="86"/>
      <c r="AD46" s="87" t="str">
        <f>IFERROR(IF('[1]2. Prepare'!$O$50="Quantitative",INDEX('[1]Lists and Calcs (Hidden)'!$M$12:$Q$16,MATCH('[1]6. Risk Register Integration'!AB46,'[1]Lists and Calcs (Hidden)'!$K$12:$K$16,0),MATCH('[1]6. Risk Register Integration'!AC46,'[1]Lists and Calcs (Hidden)'!$M$10:$Q$10,0)),INDEX('[1]Lists and Calcs (Hidden)'!$Z$12:$AD$16,MATCH('[1]6. Risk Register Integration'!AB46,'[1]Lists and Calcs (Hidden)'!$X$12:$X$16,0),MATCH('[1]6. Risk Register Integration'!AC46,'[1]Lists and Calcs (Hidden)'!$Z$10:$AD$10,0))),"")</f>
        <v/>
      </c>
      <c r="AE46" s="54"/>
      <c r="AF46" s="4"/>
      <c r="AG46" s="4"/>
    </row>
    <row r="47" spans="2:33" ht="330" customHeight="1" x14ac:dyDescent="0.2">
      <c r="B47" s="108"/>
      <c r="C47" s="89" t="str">
        <f>IF('[1]Lists and Calcs (Hidden)'!AJ71="","",
                    IF(INDEX('[1]5. Assess Risks'!$B$6:$B$704,MATCH('[1]Lists and Calcs (Hidden)'!AJ71,'[1]Lists and Calcs (Hidden)'!$AB$34:$AB$732,0))="","",
                                    INDEX('[1]5. Assess Risks'!$B$6:$B$704,MATCH('[1]Lists and Calcs (Hidden)'!AJ71,'[1]Lists and Calcs (Hidden)'!$AB$34:$AB$732,0))
))</f>
        <v>TRA1.50 - ERP System - A popular application is exploited by an attacker to overload a system with requests. This distributed denial-of-service (DDoS) attack disrupts normal functionality and prevents legitimate users from accessing the application.
The application itself becomes a tool for the attacker to manipulate system resources and hinder its intended use.</v>
      </c>
      <c r="D47" s="90">
        <f>IF(C47="", "", '[1]2. Prepare'!$E$6)</f>
        <v>45033</v>
      </c>
      <c r="E47" s="91"/>
      <c r="F47" s="91"/>
      <c r="G47" s="91"/>
      <c r="H47" s="91"/>
      <c r="I47" s="89" t="str">
        <f>IF('[1]Lists and Calcs (Hidden)'!AJ71="","",
                    IF(INDEX('[1]5. Assess Risks'!$D$6:$D$704,MATCH('[1]Lists and Calcs (Hidden)'!AJ71,'[1]Lists and Calcs (Hidden)'!$AB$34:$AB$732,0))="","",
                                    INDEX('[1]5. Assess Risks'!$D$6:$D$704,MATCH('[1]Lists and Calcs (Hidden)'!AJ71,'[1]Lists and Calcs (Hidden)'!$AB$34:$AB$732,0))
))</f>
        <v>WAF, Email Filtering, Vulnerability Management Program, Application Safelisting, Security Awareness Training Program, Phishing Simulations, Firewall, Endpoint Detection and Response, Intrusion Detection and Protection, Data Loss Prevention.</v>
      </c>
      <c r="J47" s="91"/>
      <c r="K47" s="91"/>
      <c r="L47" s="91"/>
      <c r="M47" s="91"/>
      <c r="N47" s="91"/>
      <c r="O47" s="91"/>
      <c r="P47" s="92" t="str">
        <f>IF('[1]Lists and Calcs (Hidden)'!AJ71="","",
                    IF(INDEX('[1]5. Assess Risks'!$G$6:$G$704,MATCH('[1]Lists and Calcs (Hidden)'!AJ71,'[1]Lists and Calcs (Hidden)'!$AB$34:$AB$732,0))="","",
                                    INDEX('[1]5. Assess Risks'!$G$6:$G$704,MATCH('[1]Lists and Calcs (Hidden)'!AJ71,'[1]Lists and Calcs (Hidden)'!$AB$34:$AB$732,0))
))</f>
        <v>Likely</v>
      </c>
      <c r="Q47" s="92" t="str">
        <f>IF('[1]Lists and Calcs (Hidden)'!AJ71="","",
                    IF(INDEX('[1]5. Assess Risks'!$H$6:$H$704,MATCH('[1]Lists and Calcs (Hidden)'!AJ71,'[1]Lists and Calcs (Hidden)'!$AB$34:$AB$732,0))="","",
                                    INDEX('[1]5. Assess Risks'!$H$6:$H$704,MATCH('[1]Lists and Calcs (Hidden)'!AJ71,'[1]Lists and Calcs (Hidden)'!$AB$34:$AB$732,0))
))</f>
        <v>Moderate</v>
      </c>
      <c r="R47" s="93" t="str">
        <f>IFERROR(IF('[1]2. Prepare'!$O$50="Quantitative",INDEX('[1]Lists and Calcs (Hidden)'!$M$12:$Q$16,MATCH('[1]6. Risk Register Integration'!P47,'[1]Lists and Calcs (Hidden)'!$K$12:$K$16,0),MATCH('[1]6. Risk Register Integration'!Q47,'[1]Lists and Calcs (Hidden)'!$M$10:$Q$10,0)),INDEX('[1]Lists and Calcs (Hidden)'!$Z$12:$AD$16,MATCH('[1]6. Risk Register Integration'!P47,'[1]Lists and Calcs (Hidden)'!$X$12:$X$16,0),MATCH('[1]6. Risk Register Integration'!Q47,'[1]Lists and Calcs (Hidden)'!$Z$10:$AD$10,0))),"")</f>
        <v>Medium</v>
      </c>
      <c r="S47" s="94" t="str">
        <f>IF('[1]Lists and Calcs (Hidden)'!AJ71="","",
                    IF(INDEX('[1]5. Assess Risks'!$J$6:$J$704,MATCH('[1]Lists and Calcs (Hidden)'!AJ71,'[1]Lists and Calcs (Hidden)'!$AB$34:$AB$732,0))="","",
                                    INDEX('[1]5. Assess Risks'!$J$6:$J$704,MATCH('[1]Lists and Calcs (Hidden)'!AJ71,'[1]Lists and Calcs (Hidden)'!$AB$34:$AB$732,0))
))</f>
        <v>Formally Accept the Risk</v>
      </c>
      <c r="T47" s="102"/>
      <c r="U47" s="105"/>
      <c r="V47" s="106"/>
      <c r="W47" s="105"/>
      <c r="X47" s="105"/>
      <c r="Y47" s="89" t="str">
        <f>IF('[1]Lists and Calcs (Hidden)'!AJ71="","",
                    IF(INDEX('[1]5. Assess Risks'!$L$6:$L$704,MATCH('[1]Lists and Calcs (Hidden)'!AJ71,'[1]Lists and Calcs (Hidden)'!$AB$34:$AB$732,0))="","",
                                    INDEX('[1]5. Assess Risks'!$L$6:$L$704,MATCH('[1]Lists and Calcs (Hidden)'!AJ71,'[1]Lists and Calcs (Hidden)'!$AB$34:$AB$732,0))
))</f>
        <v>Source of residual risk: Zero-days, living off the land.
Potential additional controls: Network monitoring</v>
      </c>
      <c r="Z47" s="95"/>
      <c r="AA47" s="96"/>
      <c r="AB47" s="85"/>
      <c r="AC47" s="86"/>
      <c r="AD47" s="87" t="str">
        <f>IFERROR(IF('[1]2. Prepare'!$O$50="Quantitative",INDEX('[1]Lists and Calcs (Hidden)'!$M$12:$Q$16,MATCH('[1]6. Risk Register Integration'!AB47,'[1]Lists and Calcs (Hidden)'!$K$12:$K$16,0),MATCH('[1]6. Risk Register Integration'!AC47,'[1]Lists and Calcs (Hidden)'!$M$10:$Q$10,0)),INDEX('[1]Lists and Calcs (Hidden)'!$Z$12:$AD$16,MATCH('[1]6. Risk Register Integration'!AB47,'[1]Lists and Calcs (Hidden)'!$X$12:$X$16,0),MATCH('[1]6. Risk Register Integration'!AC47,'[1]Lists and Calcs (Hidden)'!$Z$10:$AD$10,0))),"")</f>
        <v/>
      </c>
      <c r="AE47" s="54"/>
      <c r="AF47" s="4"/>
      <c r="AG47" s="4"/>
    </row>
    <row r="48" spans="2:33" ht="330" customHeight="1" x14ac:dyDescent="0.2">
      <c r="B48" s="107"/>
      <c r="C48" s="98" t="str">
        <f>IF('[1]Lists and Calcs (Hidden)'!AJ72="","",
                    IF(INDEX('[1]5. Assess Risks'!$B$6:$B$704,MATCH('[1]Lists and Calcs (Hidden)'!AJ72,'[1]Lists and Calcs (Hidden)'!$AB$34:$AB$732,0))="","",
                                    INDEX('[1]5. Assess Risks'!$B$6:$B$704,MATCH('[1]Lists and Calcs (Hidden)'!AJ72,'[1]Lists and Calcs (Hidden)'!$AB$34:$AB$732,0))
))</f>
        <v>TRA1.51 - ERP System - An attacker scans a company's web applications to identify vulnerabilities. The attacker might use automated tools or manual techniques to probe different functionalities of the web application. This information gathering about the web application (e.g. version, functionalities, security measures) helps the attacker plan a more targeted attack later.
In this scenario, the reconnaissance effort directly targets the web-based application to gather information for exploitation.</v>
      </c>
      <c r="D48" s="90">
        <f>IF(C48="", "", '[1]2. Prepare'!$E$6)</f>
        <v>45033</v>
      </c>
      <c r="E48" s="91"/>
      <c r="F48" s="91"/>
      <c r="G48" s="91"/>
      <c r="H48" s="91"/>
      <c r="I48" s="98" t="str">
        <f>IF('[1]Lists and Calcs (Hidden)'!AJ72="","",
                    IF(INDEX('[1]5. Assess Risks'!$D$6:$D$704,MATCH('[1]Lists and Calcs (Hidden)'!AJ72,'[1]Lists and Calcs (Hidden)'!$AB$34:$AB$732,0))="","",
                                    INDEX('[1]5. Assess Risks'!$D$6:$D$704,MATCH('[1]Lists and Calcs (Hidden)'!AJ72,'[1]Lists and Calcs (Hidden)'!$AB$34:$AB$732,0))
))</f>
        <v>WAF, Email Filtering, Vulnerability Management Program, Application Safelisting, Security Awareness Training Program, Phishing Simulations, Firewall, Endpoint Detection and Response, Intrusion Detection and Protection, Data Loss Prevention.</v>
      </c>
      <c r="J48" s="91"/>
      <c r="K48" s="91"/>
      <c r="L48" s="91"/>
      <c r="M48" s="91"/>
      <c r="N48" s="91"/>
      <c r="O48" s="91"/>
      <c r="P48" s="99" t="str">
        <f>IF('[1]Lists and Calcs (Hidden)'!AJ72="","",
                    IF(INDEX('[1]5. Assess Risks'!$G$6:$G$704,MATCH('[1]Lists and Calcs (Hidden)'!AJ72,'[1]Lists and Calcs (Hidden)'!$AB$34:$AB$732,0))="","",
                                    INDEX('[1]5. Assess Risks'!$G$6:$G$704,MATCH('[1]Lists and Calcs (Hidden)'!AJ72,'[1]Lists and Calcs (Hidden)'!$AB$34:$AB$732,0))
))</f>
        <v>Possible</v>
      </c>
      <c r="Q48" s="99" t="str">
        <f>IF('[1]Lists and Calcs (Hidden)'!AJ72="","",
                    IF(INDEX('[1]5. Assess Risks'!$H$6:$H$704,MATCH('[1]Lists and Calcs (Hidden)'!AJ72,'[1]Lists and Calcs (Hidden)'!$AB$34:$AB$732,0))="","",
                                    INDEX('[1]5. Assess Risks'!$H$6:$H$704,MATCH('[1]Lists and Calcs (Hidden)'!AJ72,'[1]Lists and Calcs (Hidden)'!$AB$34:$AB$732,0))
))</f>
        <v>Minor</v>
      </c>
      <c r="R48" s="100" t="str">
        <f>IFERROR(IF('[1]2. Prepare'!$O$50="Quantitative",INDEX('[1]Lists and Calcs (Hidden)'!$M$12:$Q$16,MATCH('[1]6. Risk Register Integration'!P48,'[1]Lists and Calcs (Hidden)'!$K$12:$K$16,0),MATCH('[1]6. Risk Register Integration'!Q48,'[1]Lists and Calcs (Hidden)'!$M$10:$Q$10,0)),INDEX('[1]Lists and Calcs (Hidden)'!$Z$12:$AD$16,MATCH('[1]6. Risk Register Integration'!P48,'[1]Lists and Calcs (Hidden)'!$X$12:$X$16,0),MATCH('[1]6. Risk Register Integration'!Q48,'[1]Lists and Calcs (Hidden)'!$Z$10:$AD$10,0))),"")</f>
        <v>Medium</v>
      </c>
      <c r="S48" s="101" t="str">
        <f>IF('[1]Lists and Calcs (Hidden)'!AJ72="","",
                    IF(INDEX('[1]5. Assess Risks'!$J$6:$J$704,MATCH('[1]Lists and Calcs (Hidden)'!AJ72,'[1]Lists and Calcs (Hidden)'!$AB$34:$AB$732,0))="","",
                                    INDEX('[1]5. Assess Risks'!$J$6:$J$704,MATCH('[1]Lists and Calcs (Hidden)'!AJ72,'[1]Lists and Calcs (Hidden)'!$AB$34:$AB$732,0))
))</f>
        <v>No New Actions Needed</v>
      </c>
      <c r="T48" s="102"/>
      <c r="U48" s="105"/>
      <c r="V48" s="106"/>
      <c r="W48" s="105"/>
      <c r="X48" s="105"/>
      <c r="Y48" s="98" t="str">
        <f>IF('[1]Lists and Calcs (Hidden)'!AJ72="","",
                    IF(INDEX('[1]5. Assess Risks'!$L$6:$L$704,MATCH('[1]Lists and Calcs (Hidden)'!AJ72,'[1]Lists and Calcs (Hidden)'!$AB$34:$AB$732,0))="","",
                                    INDEX('[1]5. Assess Risks'!$L$6:$L$704,MATCH('[1]Lists and Calcs (Hidden)'!AJ72,'[1]Lists and Calcs (Hidden)'!$AB$34:$AB$732,0))
))</f>
        <v>Source of residual risk: Stored credentials, malware (keyloggers), weak password practices.
Potential additional controls: MFA, secure credential storage, least privilege</v>
      </c>
      <c r="Z48" s="95"/>
      <c r="AA48" s="96"/>
      <c r="AB48" s="85"/>
      <c r="AC48" s="86"/>
      <c r="AD48" s="87" t="str">
        <f>IFERROR(IF('[1]2. Prepare'!$O$50="Quantitative",INDEX('[1]Lists and Calcs (Hidden)'!$M$12:$Q$16,MATCH('[1]6. Risk Register Integration'!AB48,'[1]Lists and Calcs (Hidden)'!$K$12:$K$16,0),MATCH('[1]6. Risk Register Integration'!AC48,'[1]Lists and Calcs (Hidden)'!$M$10:$Q$10,0)),INDEX('[1]Lists and Calcs (Hidden)'!$Z$12:$AD$16,MATCH('[1]6. Risk Register Integration'!AB48,'[1]Lists and Calcs (Hidden)'!$X$12:$X$16,0),MATCH('[1]6. Risk Register Integration'!AC48,'[1]Lists and Calcs (Hidden)'!$Z$10:$AD$10,0))),"")</f>
        <v/>
      </c>
      <c r="AE48" s="54"/>
      <c r="AF48" s="4"/>
      <c r="AG48" s="4"/>
    </row>
    <row r="49" spans="2:33" ht="330" customHeight="1" x14ac:dyDescent="0.2">
      <c r="B49" s="108"/>
      <c r="C49" s="89" t="str">
        <f>IF('[1]Lists and Calcs (Hidden)'!AJ73="","",
                    IF(INDEX('[1]5. Assess Risks'!$B$6:$B$704,MATCH('[1]Lists and Calcs (Hidden)'!AJ73,'[1]Lists and Calcs (Hidden)'!$AB$34:$AB$732,0))="","",
                                    INDEX('[1]5. Assess Risks'!$B$6:$B$704,MATCH('[1]Lists and Calcs (Hidden)'!AJ73,'[1]Lists and Calcs (Hidden)'!$AB$34:$AB$732,0))
))</f>
        <v xml:space="preserve">TRA1.52 - ERP System - An attacker sends a phishing email containing a malicious link. Clicking the link opens a web application under attacker control. This web application exploits vulnerabilities in the user's browser or the web application itself to install malware or steal credentials.
In this scenario, the malicious web application acts as the attacker's initial access vector. </v>
      </c>
      <c r="D49" s="90">
        <f>IF(C49="", "", '[1]2. Prepare'!$E$6)</f>
        <v>45033</v>
      </c>
      <c r="E49" s="91"/>
      <c r="F49" s="91"/>
      <c r="G49" s="91"/>
      <c r="H49" s="91"/>
      <c r="I49" s="89" t="str">
        <f>IF('[1]Lists and Calcs (Hidden)'!AJ73="","",
                    IF(INDEX('[1]5. Assess Risks'!$D$6:$D$704,MATCH('[1]Lists and Calcs (Hidden)'!AJ73,'[1]Lists and Calcs (Hidden)'!$AB$34:$AB$732,0))="","",
                                    INDEX('[1]5. Assess Risks'!$D$6:$D$704,MATCH('[1]Lists and Calcs (Hidden)'!AJ73,'[1]Lists and Calcs (Hidden)'!$AB$34:$AB$732,0))
))</f>
        <v>WAF, Email Filtering, Vulnerability Management Program, Application Safelisting, Security Awareness Training Program, Phishing Simulations, Firewall, Endpoint Detection and Response, Intrusion Detection and Protection, Data Loss Prevention.</v>
      </c>
      <c r="J49" s="91"/>
      <c r="K49" s="91"/>
      <c r="L49" s="91"/>
      <c r="M49" s="91"/>
      <c r="N49" s="91"/>
      <c r="O49" s="91"/>
      <c r="P49" s="92" t="str">
        <f>IF('[1]Lists and Calcs (Hidden)'!AJ73="","",
                    IF(INDEX('[1]5. Assess Risks'!$G$6:$G$704,MATCH('[1]Lists and Calcs (Hidden)'!AJ73,'[1]Lists and Calcs (Hidden)'!$AB$34:$AB$732,0))="","",
                                    INDEX('[1]5. Assess Risks'!$G$6:$G$704,MATCH('[1]Lists and Calcs (Hidden)'!AJ73,'[1]Lists and Calcs (Hidden)'!$AB$34:$AB$732,0))
))</f>
        <v>Possible</v>
      </c>
      <c r="Q49" s="92" t="str">
        <f>IF('[1]Lists and Calcs (Hidden)'!AJ73="","",
                    IF(INDEX('[1]5. Assess Risks'!$H$6:$H$704,MATCH('[1]Lists and Calcs (Hidden)'!AJ73,'[1]Lists and Calcs (Hidden)'!$AB$34:$AB$732,0))="","",
                                    INDEX('[1]5. Assess Risks'!$H$6:$H$704,MATCH('[1]Lists and Calcs (Hidden)'!AJ73,'[1]Lists and Calcs (Hidden)'!$AB$34:$AB$732,0))
))</f>
        <v>Minor</v>
      </c>
      <c r="R49" s="93" t="str">
        <f>IFERROR(IF('[1]2. Prepare'!$O$50="Quantitative",INDEX('[1]Lists and Calcs (Hidden)'!$M$12:$Q$16,MATCH('[1]6. Risk Register Integration'!P49,'[1]Lists and Calcs (Hidden)'!$K$12:$K$16,0),MATCH('[1]6. Risk Register Integration'!Q49,'[1]Lists and Calcs (Hidden)'!$M$10:$Q$10,0)),INDEX('[1]Lists and Calcs (Hidden)'!$Z$12:$AD$16,MATCH('[1]6. Risk Register Integration'!P49,'[1]Lists and Calcs (Hidden)'!$X$12:$X$16,0),MATCH('[1]6. Risk Register Integration'!Q49,'[1]Lists and Calcs (Hidden)'!$Z$10:$AD$10,0))),"")</f>
        <v>Medium</v>
      </c>
      <c r="S49" s="94" t="str">
        <f>IF('[1]Lists and Calcs (Hidden)'!AJ73="","",
                    IF(INDEX('[1]5. Assess Risks'!$J$6:$J$704,MATCH('[1]Lists and Calcs (Hidden)'!AJ73,'[1]Lists and Calcs (Hidden)'!$AB$34:$AB$732,0))="","",
                                    INDEX('[1]5. Assess Risks'!$J$6:$J$704,MATCH('[1]Lists and Calcs (Hidden)'!AJ73,'[1]Lists and Calcs (Hidden)'!$AB$34:$AB$732,0))
))</f>
        <v>No New Actions Needed</v>
      </c>
      <c r="T49" s="102"/>
      <c r="U49" s="105"/>
      <c r="V49" s="106"/>
      <c r="W49" s="105"/>
      <c r="X49" s="105"/>
      <c r="Y49" s="89" t="str">
        <f>IF('[1]Lists and Calcs (Hidden)'!AJ73="","",
                    IF(INDEX('[1]5. Assess Risks'!$L$6:$L$704,MATCH('[1]Lists and Calcs (Hidden)'!AJ73,'[1]Lists and Calcs (Hidden)'!$AB$34:$AB$732,0))="","",
                                    INDEX('[1]5. Assess Risks'!$L$6:$L$704,MATCH('[1]Lists and Calcs (Hidden)'!AJ73,'[1]Lists and Calcs (Hidden)'!$AB$34:$AB$732,0))
))</f>
        <v>Source of residual risk: Existing controls have a pre-compromise focus.
Potential additional controls: File integrity monitoring, least privilege.</v>
      </c>
      <c r="Z49" s="95"/>
      <c r="AA49" s="96"/>
      <c r="AB49" s="85"/>
      <c r="AC49" s="86"/>
      <c r="AD49" s="87" t="str">
        <f>IFERROR(IF('[1]2. Prepare'!$O$50="Quantitative",INDEX('[1]Lists and Calcs (Hidden)'!$M$12:$Q$16,MATCH('[1]6. Risk Register Integration'!AB49,'[1]Lists and Calcs (Hidden)'!$K$12:$K$16,0),MATCH('[1]6. Risk Register Integration'!AC49,'[1]Lists and Calcs (Hidden)'!$M$10:$Q$10,0)),INDEX('[1]Lists and Calcs (Hidden)'!$Z$12:$AD$16,MATCH('[1]6. Risk Register Integration'!AB49,'[1]Lists and Calcs (Hidden)'!$X$12:$X$16,0),MATCH('[1]6. Risk Register Integration'!AC49,'[1]Lists and Calcs (Hidden)'!$Z$10:$AD$10,0))),"")</f>
        <v/>
      </c>
      <c r="AE49" s="54"/>
      <c r="AF49" s="4"/>
      <c r="AG49" s="4"/>
    </row>
    <row r="50" spans="2:33" ht="330" customHeight="1" x14ac:dyDescent="0.2">
      <c r="B50" s="107"/>
      <c r="C50" s="98" t="str">
        <f>IF('[1]Lists and Calcs (Hidden)'!AJ74="","",
                    IF(INDEX('[1]5. Assess Risks'!$B$6:$B$704,MATCH('[1]Lists and Calcs (Hidden)'!AJ74,'[1]Lists and Calcs (Hidden)'!$AB$34:$AB$732,0))="","",
                                    INDEX('[1]5. Assess Risks'!$B$6:$B$704,MATCH('[1]Lists and Calcs (Hidden)'!AJ74,'[1]Lists and Calcs (Hidden)'!$AB$34:$AB$732,0))
))</f>
        <v xml:space="preserve">TRA1.53 - ERP System - A malicious actor discovers a vulnerability in a popular web application. They craft a specially designed script (e.g. cross-site scripting [XSS]) that exploits this vulnerability. When a user visits a webpage infected with this script, the malicious code executes within the web browser context. This code could then steal user data, redirect the user to malicious sites, or perform other unauthorized actions.
In this scenario, the attacker targets the vulnerability within the web application to execute their malicious code and achieve their goals. </v>
      </c>
      <c r="D50" s="90">
        <f>IF(C50="", "", '[1]2. Prepare'!$E$6)</f>
        <v>45033</v>
      </c>
      <c r="E50" s="91"/>
      <c r="F50" s="91"/>
      <c r="G50" s="91"/>
      <c r="H50" s="91"/>
      <c r="I50" s="98" t="str">
        <f>IF('[1]Lists and Calcs (Hidden)'!AJ74="","",
                    IF(INDEX('[1]5. Assess Risks'!$D$6:$D$704,MATCH('[1]Lists and Calcs (Hidden)'!AJ74,'[1]Lists and Calcs (Hidden)'!$AB$34:$AB$732,0))="","",
                                    INDEX('[1]5. Assess Risks'!$D$6:$D$704,MATCH('[1]Lists and Calcs (Hidden)'!AJ74,'[1]Lists and Calcs (Hidden)'!$AB$34:$AB$732,0))
))</f>
        <v>WAF, Email Filtering, Vulnerability Management Program, Application Safelisting, Security Awareness Training Program, Phishing Simulations, Firewall, Endpoint Detection and Response, Intrusion Detection and Protection, Data Loss Prevention.</v>
      </c>
      <c r="J50" s="91"/>
      <c r="K50" s="91"/>
      <c r="L50" s="91"/>
      <c r="M50" s="91"/>
      <c r="N50" s="91"/>
      <c r="O50" s="91"/>
      <c r="P50" s="99" t="str">
        <f>IF('[1]Lists and Calcs (Hidden)'!AJ74="","",
                    IF(INDEX('[1]5. Assess Risks'!$G$6:$G$704,MATCH('[1]Lists and Calcs (Hidden)'!AJ74,'[1]Lists and Calcs (Hidden)'!$AB$34:$AB$732,0))="","",
                                    INDEX('[1]5. Assess Risks'!$G$6:$G$704,MATCH('[1]Lists and Calcs (Hidden)'!AJ74,'[1]Lists and Calcs (Hidden)'!$AB$34:$AB$732,0))
))</f>
        <v>Possible</v>
      </c>
      <c r="Q50" s="99" t="str">
        <f>IF('[1]Lists and Calcs (Hidden)'!AJ74="","",
                    IF(INDEX('[1]5. Assess Risks'!$H$6:$H$704,MATCH('[1]Lists and Calcs (Hidden)'!AJ74,'[1]Lists and Calcs (Hidden)'!$AB$34:$AB$732,0))="","",
                                    INDEX('[1]5. Assess Risks'!$H$6:$H$704,MATCH('[1]Lists and Calcs (Hidden)'!AJ74,'[1]Lists and Calcs (Hidden)'!$AB$34:$AB$732,0))
))</f>
        <v>Moderate</v>
      </c>
      <c r="R50" s="100" t="str">
        <f>IFERROR(IF('[1]2. Prepare'!$O$50="Quantitative",INDEX('[1]Lists and Calcs (Hidden)'!$M$12:$Q$16,MATCH('[1]6. Risk Register Integration'!P50,'[1]Lists and Calcs (Hidden)'!$K$12:$K$16,0),MATCH('[1]6. Risk Register Integration'!Q50,'[1]Lists and Calcs (Hidden)'!$M$10:$Q$10,0)),INDEX('[1]Lists and Calcs (Hidden)'!$Z$12:$AD$16,MATCH('[1]6. Risk Register Integration'!P50,'[1]Lists and Calcs (Hidden)'!$X$12:$X$16,0),MATCH('[1]6. Risk Register Integration'!Q50,'[1]Lists and Calcs (Hidden)'!$Z$10:$AD$10,0))),"")</f>
        <v>Medium</v>
      </c>
      <c r="S50" s="101" t="str">
        <f>IF('[1]Lists and Calcs (Hidden)'!AJ74="","",
                    IF(INDEX('[1]5. Assess Risks'!$J$6:$J$704,MATCH('[1]Lists and Calcs (Hidden)'!AJ74,'[1]Lists and Calcs (Hidden)'!$AB$34:$AB$732,0))="","",
                                    INDEX('[1]5. Assess Risks'!$J$6:$J$704,MATCH('[1]Lists and Calcs (Hidden)'!AJ74,'[1]Lists and Calcs (Hidden)'!$AB$34:$AB$732,0))
))</f>
        <v>No New Actions Needed</v>
      </c>
      <c r="T50" s="102"/>
      <c r="U50" s="105"/>
      <c r="V50" s="106"/>
      <c r="W50" s="105"/>
      <c r="X50" s="105"/>
      <c r="Y50" s="98" t="str">
        <f>IF('[1]Lists and Calcs (Hidden)'!AJ74="","",
                    IF(INDEX('[1]5. Assess Risks'!$L$6:$L$704,MATCH('[1]Lists and Calcs (Hidden)'!AJ74,'[1]Lists and Calcs (Hidden)'!$AB$34:$AB$732,0))="","",
                                    INDEX('[1]5. Assess Risks'!$L$6:$L$704,MATCH('[1]Lists and Calcs (Hidden)'!AJ74,'[1]Lists and Calcs (Hidden)'!$AB$34:$AB$732,0))
))</f>
        <v>Source of residual risk: Living off the land, evasion.
Potential additional controls: Behavioral detection, egress filtering, traffic analysis.</v>
      </c>
      <c r="Z50" s="95"/>
      <c r="AA50" s="96"/>
      <c r="AB50" s="85"/>
      <c r="AC50" s="86"/>
      <c r="AD50" s="87" t="str">
        <f>IFERROR(IF('[1]2. Prepare'!$O$50="Quantitative",INDEX('[1]Lists and Calcs (Hidden)'!$M$12:$Q$16,MATCH('[1]6. Risk Register Integration'!AB50,'[1]Lists and Calcs (Hidden)'!$K$12:$K$16,0),MATCH('[1]6. Risk Register Integration'!AC50,'[1]Lists and Calcs (Hidden)'!$M$10:$Q$10,0)),INDEX('[1]Lists and Calcs (Hidden)'!$Z$12:$AD$16,MATCH('[1]6. Risk Register Integration'!AB50,'[1]Lists and Calcs (Hidden)'!$X$12:$X$16,0),MATCH('[1]6. Risk Register Integration'!AC50,'[1]Lists and Calcs (Hidden)'!$Z$10:$AD$10,0))),"")</f>
        <v/>
      </c>
      <c r="AE50" s="54"/>
      <c r="AF50" s="4"/>
      <c r="AG50" s="4"/>
    </row>
    <row r="51" spans="2:33" ht="330" customHeight="1" x14ac:dyDescent="0.2">
      <c r="B51" s="107"/>
      <c r="C51" s="89" t="str">
        <f>IF('[1]Lists and Calcs (Hidden)'!AJ75="","",
                    IF(INDEX('[1]5. Assess Risks'!$B$6:$B$704,MATCH('[1]Lists and Calcs (Hidden)'!AJ75,'[1]Lists and Calcs (Hidden)'!$AB$34:$AB$732,0))="","",
                                    INDEX('[1]5. Assess Risks'!$B$6:$B$704,MATCH('[1]Lists and Calcs (Hidden)'!AJ75,'[1]Lists and Calcs (Hidden)'!$AB$34:$AB$732,0))
))</f>
        <v>TRA1.54 - ERP System - The Persistence tactic partially applies to Web-based applications in MITRE ATT&amp;CK. While they can't directly achieve persistence as they could with malware, attackers can leverage techniques like malicious cookies to maintain a presence across sessions. Web applications can also be a launchpad for delivering persistent malware.</v>
      </c>
      <c r="D51" s="90">
        <f>IF(C51="", "", '[1]2. Prepare'!$E$6)</f>
        <v>45033</v>
      </c>
      <c r="E51" s="91"/>
      <c r="F51" s="91"/>
      <c r="G51" s="91"/>
      <c r="H51" s="91"/>
      <c r="I51" s="89" t="str">
        <f>IF('[1]Lists and Calcs (Hidden)'!AJ75="","",
                    IF(INDEX('[1]5. Assess Risks'!$D$6:$D$704,MATCH('[1]Lists and Calcs (Hidden)'!AJ75,'[1]Lists and Calcs (Hidden)'!$AB$34:$AB$732,0))="","",
                                    INDEX('[1]5. Assess Risks'!$D$6:$D$704,MATCH('[1]Lists and Calcs (Hidden)'!AJ75,'[1]Lists and Calcs (Hidden)'!$AB$34:$AB$732,0))
))</f>
        <v>WAF, Email Filtering, Vulnerability Management Program, Application Safelisting, Security Awareness Training Program, Phishing Simulations, Firewall, Endpoint Detection and Response, Intrusion Detection and Protection, Data Loss Prevention.</v>
      </c>
      <c r="J51" s="91"/>
      <c r="K51" s="91"/>
      <c r="L51" s="91"/>
      <c r="M51" s="91"/>
      <c r="N51" s="91"/>
      <c r="O51" s="91"/>
      <c r="P51" s="92" t="str">
        <f>IF('[1]Lists and Calcs (Hidden)'!AJ75="","",
                    IF(INDEX('[1]5. Assess Risks'!$G$6:$G$704,MATCH('[1]Lists and Calcs (Hidden)'!AJ75,'[1]Lists and Calcs (Hidden)'!$AB$34:$AB$732,0))="","",
                                    INDEX('[1]5. Assess Risks'!$G$6:$G$704,MATCH('[1]Lists and Calcs (Hidden)'!AJ75,'[1]Lists and Calcs (Hidden)'!$AB$34:$AB$732,0))
))</f>
        <v>Possible</v>
      </c>
      <c r="Q51" s="92" t="str">
        <f>IF('[1]Lists and Calcs (Hidden)'!AJ75="","",
                    IF(INDEX('[1]5. Assess Risks'!$H$6:$H$704,MATCH('[1]Lists and Calcs (Hidden)'!AJ75,'[1]Lists and Calcs (Hidden)'!$AB$34:$AB$732,0))="","",
                                    INDEX('[1]5. Assess Risks'!$H$6:$H$704,MATCH('[1]Lists and Calcs (Hidden)'!AJ75,'[1]Lists and Calcs (Hidden)'!$AB$34:$AB$732,0))
))</f>
        <v>Major</v>
      </c>
      <c r="R51" s="93" t="str">
        <f>IFERROR(IF('[1]2. Prepare'!$O$50="Quantitative",INDEX('[1]Lists and Calcs (Hidden)'!$M$12:$Q$16,MATCH('[1]6. Risk Register Integration'!P51,'[1]Lists and Calcs (Hidden)'!$K$12:$K$16,0),MATCH('[1]6. Risk Register Integration'!Q51,'[1]Lists and Calcs (Hidden)'!$M$10:$Q$10,0)),INDEX('[1]Lists and Calcs (Hidden)'!$Z$12:$AD$16,MATCH('[1]6. Risk Register Integration'!P51,'[1]Lists and Calcs (Hidden)'!$X$12:$X$16,0),MATCH('[1]6. Risk Register Integration'!Q51,'[1]Lists and Calcs (Hidden)'!$Z$10:$AD$10,0))),"")</f>
        <v>Medium</v>
      </c>
      <c r="S51" s="94" t="str">
        <f>IF('[1]Lists and Calcs (Hidden)'!AJ75="","",
                    IF(INDEX('[1]5. Assess Risks'!$J$6:$J$704,MATCH('[1]Lists and Calcs (Hidden)'!AJ75,'[1]Lists and Calcs (Hidden)'!$AB$34:$AB$732,0))="","",
                                    INDEX('[1]5. Assess Risks'!$J$6:$J$704,MATCH('[1]Lists and Calcs (Hidden)'!AJ75,'[1]Lists and Calcs (Hidden)'!$AB$34:$AB$732,0))
))</f>
        <v>Formally Accept the Risk</v>
      </c>
      <c r="T51" s="102"/>
      <c r="U51" s="105"/>
      <c r="V51" s="106"/>
      <c r="W51" s="105"/>
      <c r="X51" s="105"/>
      <c r="Y51" s="89" t="str">
        <f>IF('[1]Lists and Calcs (Hidden)'!AJ75="","",
                    IF(INDEX('[1]5. Assess Risks'!$L$6:$L$704,MATCH('[1]Lists and Calcs (Hidden)'!AJ75,'[1]Lists and Calcs (Hidden)'!$AB$34:$AB$732,0))="","",
                                    INDEX('[1]5. Assess Risks'!$L$6:$L$704,MATCH('[1]Lists and Calcs (Hidden)'!AJ75,'[1]Lists and Calcs (Hidden)'!$AB$34:$AB$732,0))
))</f>
        <v>Source of residual risk: Living off the land, evasion.
Potential additional controls: Behavioral detection, egress filtering, traffic analysis.</v>
      </c>
      <c r="Z51" s="95"/>
      <c r="AA51" s="96"/>
      <c r="AB51" s="85"/>
      <c r="AC51" s="86"/>
      <c r="AD51" s="87" t="str">
        <f>IFERROR(IF('[1]2. Prepare'!$O$50="Quantitative",INDEX('[1]Lists and Calcs (Hidden)'!$M$12:$Q$16,MATCH('[1]6. Risk Register Integration'!AB51,'[1]Lists and Calcs (Hidden)'!$K$12:$K$16,0),MATCH('[1]6. Risk Register Integration'!AC51,'[1]Lists and Calcs (Hidden)'!$M$10:$Q$10,0)),INDEX('[1]Lists and Calcs (Hidden)'!$Z$12:$AD$16,MATCH('[1]6. Risk Register Integration'!AB51,'[1]Lists and Calcs (Hidden)'!$X$12:$X$16,0),MATCH('[1]6. Risk Register Integration'!AC51,'[1]Lists and Calcs (Hidden)'!$Z$10:$AD$10,0))),"")</f>
        <v/>
      </c>
      <c r="AE51" s="54"/>
      <c r="AF51" s="4"/>
      <c r="AG51" s="4"/>
    </row>
    <row r="52" spans="2:33" ht="330" customHeight="1" x14ac:dyDescent="0.2">
      <c r="B52" s="108"/>
      <c r="C52" s="98" t="str">
        <f>IF('[1]Lists and Calcs (Hidden)'!AJ76="","",
                    IF(INDEX('[1]5. Assess Risks'!$B$6:$B$704,MATCH('[1]Lists and Calcs (Hidden)'!AJ76,'[1]Lists and Calcs (Hidden)'!$AB$34:$AB$732,0))="","",
                                    INDEX('[1]5. Assess Risks'!$B$6:$B$704,MATCH('[1]Lists and Calcs (Hidden)'!AJ76,'[1]Lists and Calcs (Hidden)'!$AB$34:$AB$732,0))
))</f>
        <v>TRA1.55 - ERP System - An attacker discovers a vulnerability in a web application that allows them to bypass security controls. This vulnerability might be a privilege escalation flaw that grants unauthorized access to sensitive resources or functionalities on the web server. By exploiting this vulnerability within the web application, the attacker can potentially elevate their privileges from a low-level user to an administrator on the web server.</v>
      </c>
      <c r="D52" s="90">
        <f>IF(C52="", "", '[1]2. Prepare'!$E$6)</f>
        <v>45033</v>
      </c>
      <c r="E52" s="91"/>
      <c r="F52" s="91"/>
      <c r="G52" s="91"/>
      <c r="H52" s="91"/>
      <c r="I52" s="98" t="str">
        <f>IF('[1]Lists and Calcs (Hidden)'!AJ76="","",
                    IF(INDEX('[1]5. Assess Risks'!$D$6:$D$704,MATCH('[1]Lists and Calcs (Hidden)'!AJ76,'[1]Lists and Calcs (Hidden)'!$AB$34:$AB$732,0))="","",
                                    INDEX('[1]5. Assess Risks'!$D$6:$D$704,MATCH('[1]Lists and Calcs (Hidden)'!AJ76,'[1]Lists and Calcs (Hidden)'!$AB$34:$AB$732,0))
))</f>
        <v>WAF, Email Filtering, Vulnerability Management Program, Application Safelisting, Security Awareness Training Program, Phishing Simulations, Firewall, Endpoint Detection and Response, Intrusion Detection and Protection, Data Loss Prevention.</v>
      </c>
      <c r="J52" s="91"/>
      <c r="K52" s="91"/>
      <c r="L52" s="91"/>
      <c r="M52" s="91"/>
      <c r="N52" s="91"/>
      <c r="O52" s="91"/>
      <c r="P52" s="99" t="str">
        <f>IF('[1]Lists and Calcs (Hidden)'!AJ76="","",
                    IF(INDEX('[1]5. Assess Risks'!$G$6:$G$704,MATCH('[1]Lists and Calcs (Hidden)'!AJ76,'[1]Lists and Calcs (Hidden)'!$AB$34:$AB$732,0))="","",
                                    INDEX('[1]5. Assess Risks'!$G$6:$G$704,MATCH('[1]Lists and Calcs (Hidden)'!AJ76,'[1]Lists and Calcs (Hidden)'!$AB$34:$AB$732,0))
))</f>
        <v>Possible</v>
      </c>
      <c r="Q52" s="99" t="str">
        <f>IF('[1]Lists and Calcs (Hidden)'!AJ76="","",
                    IF(INDEX('[1]5. Assess Risks'!$H$6:$H$704,MATCH('[1]Lists and Calcs (Hidden)'!AJ76,'[1]Lists and Calcs (Hidden)'!$AB$34:$AB$732,0))="","",
                                    INDEX('[1]5. Assess Risks'!$H$6:$H$704,MATCH('[1]Lists and Calcs (Hidden)'!AJ76,'[1]Lists and Calcs (Hidden)'!$AB$34:$AB$732,0))
))</f>
        <v>Catastrophic</v>
      </c>
      <c r="R52" s="100" t="str">
        <f>IFERROR(IF('[1]2. Prepare'!$O$50="Quantitative",INDEX('[1]Lists and Calcs (Hidden)'!$M$12:$Q$16,MATCH('[1]6. Risk Register Integration'!P52,'[1]Lists and Calcs (Hidden)'!$K$12:$K$16,0),MATCH('[1]6. Risk Register Integration'!Q52,'[1]Lists and Calcs (Hidden)'!$M$10:$Q$10,0)),INDEX('[1]Lists and Calcs (Hidden)'!$Z$12:$AD$16,MATCH('[1]6. Risk Register Integration'!P52,'[1]Lists and Calcs (Hidden)'!$X$12:$X$16,0),MATCH('[1]6. Risk Register Integration'!Q52,'[1]Lists and Calcs (Hidden)'!$Z$10:$AD$10,0))),"")</f>
        <v>High</v>
      </c>
      <c r="S52" s="101" t="str">
        <f>IF('[1]Lists and Calcs (Hidden)'!AJ76="","",
                    IF(INDEX('[1]5. Assess Risks'!$J$6:$J$704,MATCH('[1]Lists and Calcs (Hidden)'!AJ76,'[1]Lists and Calcs (Hidden)'!$AB$34:$AB$732,0))="","",
                                    INDEX('[1]5. Assess Risks'!$J$6:$J$704,MATCH('[1]Lists and Calcs (Hidden)'!AJ76,'[1]Lists and Calcs (Hidden)'!$AB$34:$AB$732,0))
))</f>
        <v>Mitigate the Risk</v>
      </c>
      <c r="T52" s="102"/>
      <c r="U52" s="105"/>
      <c r="V52" s="106"/>
      <c r="W52" s="105"/>
      <c r="X52" s="105"/>
      <c r="Y52" s="98" t="str">
        <f>IF('[1]Lists and Calcs (Hidden)'!AJ76="","",
                    IF(INDEX('[1]5. Assess Risks'!$L$6:$L$704,MATCH('[1]Lists and Calcs (Hidden)'!AJ76,'[1]Lists and Calcs (Hidden)'!$AB$34:$AB$732,0))="","",
                                    INDEX('[1]5. Assess Risks'!$L$6:$L$704,MATCH('[1]Lists and Calcs (Hidden)'!AJ76,'[1]Lists and Calcs (Hidden)'!$AB$34:$AB$732,0))
))</f>
        <v>Source of residual risk: Ransomware, skilled attackers, zero-days.
Potential additional controls: Offline backups, incident response planning, least privilege.</v>
      </c>
      <c r="Z52" s="95"/>
      <c r="AA52" s="96"/>
      <c r="AB52" s="85"/>
      <c r="AC52" s="86"/>
      <c r="AD52" s="87" t="str">
        <f>IFERROR(IF('[1]2. Prepare'!$O$50="Quantitative",INDEX('[1]Lists and Calcs (Hidden)'!$M$12:$Q$16,MATCH('[1]6. Risk Register Integration'!AB52,'[1]Lists and Calcs (Hidden)'!$K$12:$K$16,0),MATCH('[1]6. Risk Register Integration'!AC52,'[1]Lists and Calcs (Hidden)'!$M$10:$Q$10,0)),INDEX('[1]Lists and Calcs (Hidden)'!$Z$12:$AD$16,MATCH('[1]6. Risk Register Integration'!AB52,'[1]Lists and Calcs (Hidden)'!$X$12:$X$16,0),MATCH('[1]6. Risk Register Integration'!AC52,'[1]Lists and Calcs (Hidden)'!$Z$10:$AD$10,0))),"")</f>
        <v/>
      </c>
      <c r="AE52" s="54"/>
      <c r="AF52" s="4"/>
      <c r="AG52" s="4"/>
    </row>
    <row r="53" spans="2:33" ht="330" customHeight="1" x14ac:dyDescent="0.2">
      <c r="B53" s="107"/>
      <c r="C53" s="89" t="str">
        <f>IF('[1]Lists and Calcs (Hidden)'!AJ77="","",
                    IF(INDEX('[1]5. Assess Risks'!$B$6:$B$704,MATCH('[1]Lists and Calcs (Hidden)'!AJ77,'[1]Lists and Calcs (Hidden)'!$AB$34:$AB$732,0))="","",
                                    INDEX('[1]5. Assess Risks'!$B$6:$B$704,MATCH('[1]Lists and Calcs (Hidden)'!AJ77,'[1]Lists and Calcs (Hidden)'!$AB$34:$AB$732,0))
))</f>
        <v>TRA1.57 - ERP System - A malicious actor designs a phishing website that mimics a legitimate login page. This website is cleverly crafted to resemble a trusted web application (e.g. bank login). When a user enters their credentials on the fake website, they are unknowingly sent to the attacker.</v>
      </c>
      <c r="D53" s="90">
        <f>IF(C53="", "", '[1]2. Prepare'!$E$6)</f>
        <v>45033</v>
      </c>
      <c r="E53" s="91"/>
      <c r="F53" s="91"/>
      <c r="G53" s="91"/>
      <c r="H53" s="91"/>
      <c r="I53" s="89" t="str">
        <f>IF('[1]Lists and Calcs (Hidden)'!AJ77="","",
                    IF(INDEX('[1]5. Assess Risks'!$D$6:$D$704,MATCH('[1]Lists and Calcs (Hidden)'!AJ77,'[1]Lists and Calcs (Hidden)'!$AB$34:$AB$732,0))="","",
                                    INDEX('[1]5. Assess Risks'!$D$6:$D$704,MATCH('[1]Lists and Calcs (Hidden)'!AJ77,'[1]Lists and Calcs (Hidden)'!$AB$34:$AB$732,0))
))</f>
        <v>WAF, Email Filtering, Vulnerability Management Program, Application Safelisting, Security Awareness Training Program, Phishing Simulations, Firewall, Endpoint Detection and Response, Intrusion Detection and Protection, Data Loss Prevention.</v>
      </c>
      <c r="J53" s="91"/>
      <c r="K53" s="91"/>
      <c r="L53" s="91"/>
      <c r="M53" s="91"/>
      <c r="N53" s="91"/>
      <c r="O53" s="91"/>
      <c r="P53" s="92" t="str">
        <f>IF('[1]Lists and Calcs (Hidden)'!AJ77="","",
                    IF(INDEX('[1]5. Assess Risks'!$G$6:$G$704,MATCH('[1]Lists and Calcs (Hidden)'!AJ77,'[1]Lists and Calcs (Hidden)'!$AB$34:$AB$732,0))="","",
                                    INDEX('[1]5. Assess Risks'!$G$6:$G$704,MATCH('[1]Lists and Calcs (Hidden)'!AJ77,'[1]Lists and Calcs (Hidden)'!$AB$34:$AB$732,0))
))</f>
        <v>Likely</v>
      </c>
      <c r="Q53" s="92" t="str">
        <f>IF('[1]Lists and Calcs (Hidden)'!AJ77="","",
                    IF(INDEX('[1]5. Assess Risks'!$H$6:$H$704,MATCH('[1]Lists and Calcs (Hidden)'!AJ77,'[1]Lists and Calcs (Hidden)'!$AB$34:$AB$732,0))="","",
                                    INDEX('[1]5. Assess Risks'!$H$6:$H$704,MATCH('[1]Lists and Calcs (Hidden)'!AJ77,'[1]Lists and Calcs (Hidden)'!$AB$34:$AB$732,0))
))</f>
        <v>Minor</v>
      </c>
      <c r="R53" s="93" t="str">
        <f>IFERROR(IF('[1]2. Prepare'!$O$50="Quantitative",INDEX('[1]Lists and Calcs (Hidden)'!$M$12:$Q$16,MATCH('[1]6. Risk Register Integration'!P53,'[1]Lists and Calcs (Hidden)'!$K$12:$K$16,0),MATCH('[1]6. Risk Register Integration'!Q53,'[1]Lists and Calcs (Hidden)'!$M$10:$Q$10,0)),INDEX('[1]Lists and Calcs (Hidden)'!$Z$12:$AD$16,MATCH('[1]6. Risk Register Integration'!P53,'[1]Lists and Calcs (Hidden)'!$X$12:$X$16,0),MATCH('[1]6. Risk Register Integration'!Q53,'[1]Lists and Calcs (Hidden)'!$Z$10:$AD$10,0))),"")</f>
        <v>Medium</v>
      </c>
      <c r="S53" s="94" t="str">
        <f>IF('[1]Lists and Calcs (Hidden)'!AJ77="","",
                    IF(INDEX('[1]5. Assess Risks'!$J$6:$J$704,MATCH('[1]Lists and Calcs (Hidden)'!AJ77,'[1]Lists and Calcs (Hidden)'!$AB$34:$AB$732,0))="","",
                                    INDEX('[1]5. Assess Risks'!$J$6:$J$704,MATCH('[1]Lists and Calcs (Hidden)'!AJ77,'[1]Lists and Calcs (Hidden)'!$AB$34:$AB$732,0))
))</f>
        <v>No New Actions Needed</v>
      </c>
      <c r="T53" s="102"/>
      <c r="U53" s="105"/>
      <c r="V53" s="106"/>
      <c r="W53" s="105"/>
      <c r="X53" s="105"/>
      <c r="Y53" s="89" t="str">
        <f>IF('[1]Lists and Calcs (Hidden)'!AJ77="","",
                    IF(INDEX('[1]5. Assess Risks'!$L$6:$L$704,MATCH('[1]Lists and Calcs (Hidden)'!AJ77,'[1]Lists and Calcs (Hidden)'!$AB$34:$AB$732,0))="","",
                                    INDEX('[1]5. Assess Risks'!$L$6:$L$704,MATCH('[1]Lists and Calcs (Hidden)'!AJ77,'[1]Lists and Calcs (Hidden)'!$AB$34:$AB$732,0))
))</f>
        <v>Source of residual risk: Social engineering, third-party risk, wide attack surface.
Potential additional controls: Secure web app development, input validation and sanitization, monitoring and anomaly detection.</v>
      </c>
      <c r="Z53" s="95"/>
      <c r="AA53" s="96"/>
      <c r="AB53" s="85"/>
      <c r="AC53" s="86"/>
      <c r="AD53" s="87" t="str">
        <f>IFERROR(IF('[1]2. Prepare'!$O$50="Quantitative",INDEX('[1]Lists and Calcs (Hidden)'!$M$12:$Q$16,MATCH('[1]6. Risk Register Integration'!AB53,'[1]Lists and Calcs (Hidden)'!$K$12:$K$16,0),MATCH('[1]6. Risk Register Integration'!AC53,'[1]Lists and Calcs (Hidden)'!$M$10:$Q$10,0)),INDEX('[1]Lists and Calcs (Hidden)'!$Z$12:$AD$16,MATCH('[1]6. Risk Register Integration'!AB53,'[1]Lists and Calcs (Hidden)'!$X$12:$X$16,0),MATCH('[1]6. Risk Register Integration'!AC53,'[1]Lists and Calcs (Hidden)'!$Z$10:$AD$10,0))),"")</f>
        <v/>
      </c>
      <c r="AE53" s="54"/>
      <c r="AF53" s="4"/>
      <c r="AG53" s="4"/>
    </row>
    <row r="54" spans="2:33" ht="330" customHeight="1" x14ac:dyDescent="0.2">
      <c r="B54" s="107"/>
      <c r="C54" s="98" t="str">
        <f>IF('[1]Lists and Calcs (Hidden)'!AJ78="","",
                    IF(INDEX('[1]5. Assess Risks'!$B$6:$B$704,MATCH('[1]Lists and Calcs (Hidden)'!AJ78,'[1]Lists and Calcs (Hidden)'!$AB$34:$AB$732,0))="","",
                                    INDEX('[1]5. Assess Risks'!$B$6:$B$704,MATCH('[1]Lists and Calcs (Hidden)'!AJ78,'[1]Lists and Calcs (Hidden)'!$AB$34:$AB$732,0))
))</f>
        <v>TRA1.58 - ERP System - An attacker uses a web application vulnerability scanner to automate the process of discovering web applications running on a specific network. This scanner probes different ports and analyzes responses to identify active web applications. The attacker can then use this information to target those discovered web applications for further exploitation attempts.</v>
      </c>
      <c r="D54" s="90">
        <f>IF(C54="", "", '[1]2. Prepare'!$E$6)</f>
        <v>45033</v>
      </c>
      <c r="E54" s="91"/>
      <c r="F54" s="91"/>
      <c r="G54" s="91"/>
      <c r="H54" s="91"/>
      <c r="I54" s="98" t="str">
        <f>IF('[1]Lists and Calcs (Hidden)'!AJ78="","",
                    IF(INDEX('[1]5. Assess Risks'!$D$6:$D$704,MATCH('[1]Lists and Calcs (Hidden)'!AJ78,'[1]Lists and Calcs (Hidden)'!$AB$34:$AB$732,0))="","",
                                    INDEX('[1]5. Assess Risks'!$D$6:$D$704,MATCH('[1]Lists and Calcs (Hidden)'!AJ78,'[1]Lists and Calcs (Hidden)'!$AB$34:$AB$732,0))
))</f>
        <v>WAF, Email Filtering, Vulnerability Management Program, Application Safelisting, Security Awareness Training Program, Phishing Simulations, Firewall, Endpoint Detection and Response, Intrusion Detection and Protection, Data Loss Prevention.</v>
      </c>
      <c r="J54" s="91"/>
      <c r="K54" s="91"/>
      <c r="L54" s="91"/>
      <c r="M54" s="91"/>
      <c r="N54" s="91"/>
      <c r="O54" s="91"/>
      <c r="P54" s="99" t="str">
        <f>IF('[1]Lists and Calcs (Hidden)'!AJ78="","",
                    IF(INDEX('[1]5. Assess Risks'!$G$6:$G$704,MATCH('[1]Lists and Calcs (Hidden)'!AJ78,'[1]Lists and Calcs (Hidden)'!$AB$34:$AB$732,0))="","",
                                    INDEX('[1]5. Assess Risks'!$G$6:$G$704,MATCH('[1]Lists and Calcs (Hidden)'!AJ78,'[1]Lists and Calcs (Hidden)'!$AB$34:$AB$732,0))
))</f>
        <v>Likely</v>
      </c>
      <c r="Q54" s="99" t="str">
        <f>IF('[1]Lists and Calcs (Hidden)'!AJ78="","",
                    IF(INDEX('[1]5. Assess Risks'!$H$6:$H$704,MATCH('[1]Lists and Calcs (Hidden)'!AJ78,'[1]Lists and Calcs (Hidden)'!$AB$34:$AB$732,0))="","",
                                    INDEX('[1]5. Assess Risks'!$H$6:$H$704,MATCH('[1]Lists and Calcs (Hidden)'!AJ78,'[1]Lists and Calcs (Hidden)'!$AB$34:$AB$732,0))
))</f>
        <v>Moderate</v>
      </c>
      <c r="R54" s="100" t="str">
        <f>IFERROR(IF('[1]2. Prepare'!$O$50="Quantitative",INDEX('[1]Lists and Calcs (Hidden)'!$M$12:$Q$16,MATCH('[1]6. Risk Register Integration'!P54,'[1]Lists and Calcs (Hidden)'!$K$12:$K$16,0),MATCH('[1]6. Risk Register Integration'!Q54,'[1]Lists and Calcs (Hidden)'!$M$10:$Q$10,0)),INDEX('[1]Lists and Calcs (Hidden)'!$Z$12:$AD$16,MATCH('[1]6. Risk Register Integration'!P54,'[1]Lists and Calcs (Hidden)'!$X$12:$X$16,0),MATCH('[1]6. Risk Register Integration'!Q54,'[1]Lists and Calcs (Hidden)'!$Z$10:$AD$10,0))),"")</f>
        <v>Medium</v>
      </c>
      <c r="S54" s="101" t="str">
        <f>IF('[1]Lists and Calcs (Hidden)'!AJ78="","",
                    IF(INDEX('[1]5. Assess Risks'!$J$6:$J$704,MATCH('[1]Lists and Calcs (Hidden)'!AJ78,'[1]Lists and Calcs (Hidden)'!$AB$34:$AB$732,0))="","",
                                    INDEX('[1]5. Assess Risks'!$J$6:$J$704,MATCH('[1]Lists and Calcs (Hidden)'!AJ78,'[1]Lists and Calcs (Hidden)'!$AB$34:$AB$732,0))
))</f>
        <v>Formally Accept the Risk</v>
      </c>
      <c r="T54" s="102"/>
      <c r="U54" s="105"/>
      <c r="V54" s="106"/>
      <c r="W54" s="105"/>
      <c r="X54" s="105"/>
      <c r="Y54" s="98" t="str">
        <f>IF('[1]Lists and Calcs (Hidden)'!AJ78="","",
                    IF(INDEX('[1]5. Assess Risks'!$L$6:$L$704,MATCH('[1]Lists and Calcs (Hidden)'!AJ78,'[1]Lists and Calcs (Hidden)'!$AB$34:$AB$732,0))="","",
                                    INDEX('[1]5. Assess Risks'!$L$6:$L$704,MATCH('[1]Lists and Calcs (Hidden)'!AJ78,'[1]Lists and Calcs (Hidden)'!$AB$34:$AB$732,0))
))</f>
        <v>Source of residual risks: Multiple attack paths, server-side vulnerabilities, evolving evasion.
Potential additional controls: Web application-specific detection, input validation, and sanitization; least privilege; continuous monitoring.</v>
      </c>
      <c r="Z54" s="95"/>
      <c r="AA54" s="96"/>
      <c r="AB54" s="85"/>
      <c r="AC54" s="86"/>
      <c r="AD54" s="87" t="str">
        <f>IFERROR(IF('[1]2. Prepare'!$O$50="Quantitative",INDEX('[1]Lists and Calcs (Hidden)'!$M$12:$Q$16,MATCH('[1]6. Risk Register Integration'!AB54,'[1]Lists and Calcs (Hidden)'!$K$12:$K$16,0),MATCH('[1]6. Risk Register Integration'!AC54,'[1]Lists and Calcs (Hidden)'!$M$10:$Q$10,0)),INDEX('[1]Lists and Calcs (Hidden)'!$Z$12:$AD$16,MATCH('[1]6. Risk Register Integration'!AB54,'[1]Lists and Calcs (Hidden)'!$X$12:$X$16,0),MATCH('[1]6. Risk Register Integration'!AC54,'[1]Lists and Calcs (Hidden)'!$Z$10:$AD$10,0))),"")</f>
        <v/>
      </c>
      <c r="AE54" s="54"/>
      <c r="AF54" s="4"/>
      <c r="AG54" s="4"/>
    </row>
    <row r="55" spans="2:33" ht="330" customHeight="1" x14ac:dyDescent="0.2">
      <c r="B55" s="107"/>
      <c r="C55" s="89" t="str">
        <f>IF('[1]Lists and Calcs (Hidden)'!AJ79="","",
                    IF(INDEX('[1]5. Assess Risks'!$B$6:$B$704,MATCH('[1]Lists and Calcs (Hidden)'!AJ79,'[1]Lists and Calcs (Hidden)'!$AB$34:$AB$732,0))="","",
                                    INDEX('[1]5. Assess Risks'!$B$6:$B$704,MATCH('[1]Lists and Calcs (Hidden)'!AJ79,'[1]Lists and Calcs (Hidden)'!$AB$34:$AB$732,0))
))</f>
        <v>TRA1.59 - ERP System - A malicious advertising script is embedded within a legitimate website (the Web-based applications component). This script tracks user activity on the website, including browsing history, search queries, and even keystrokes. The collected data is then sent back to the attacker for profiling user behavior, potentially for targeted advertising or even launching phishing attacks.</v>
      </c>
      <c r="D55" s="90">
        <f>IF(C55="", "", '[1]2. Prepare'!$E$6)</f>
        <v>45033</v>
      </c>
      <c r="E55" s="91"/>
      <c r="F55" s="91"/>
      <c r="G55" s="91"/>
      <c r="H55" s="91"/>
      <c r="I55" s="89" t="str">
        <f>IF('[1]Lists and Calcs (Hidden)'!AJ79="","",
                    IF(INDEX('[1]5. Assess Risks'!$D$6:$D$704,MATCH('[1]Lists and Calcs (Hidden)'!AJ79,'[1]Lists and Calcs (Hidden)'!$AB$34:$AB$732,0))="","",
                                    INDEX('[1]5. Assess Risks'!$D$6:$D$704,MATCH('[1]Lists and Calcs (Hidden)'!AJ79,'[1]Lists and Calcs (Hidden)'!$AB$34:$AB$732,0))
))</f>
        <v>WAF, Email Filtering, Vulnerability Management Program, Application Safelisting, Security Awareness Training Program, Phishing Simulations, Firewall, Endpoint Detection and Response, Intrusion Detection and Protection, Data Loss Prevention.</v>
      </c>
      <c r="J55" s="91"/>
      <c r="K55" s="91"/>
      <c r="L55" s="91"/>
      <c r="M55" s="91"/>
      <c r="N55" s="91"/>
      <c r="O55" s="91"/>
      <c r="P55" s="92" t="str">
        <f>IF('[1]Lists and Calcs (Hidden)'!AJ79="","",
                    IF(INDEX('[1]5. Assess Risks'!$G$6:$G$704,MATCH('[1]Lists and Calcs (Hidden)'!AJ79,'[1]Lists and Calcs (Hidden)'!$AB$34:$AB$732,0))="","",
                                    INDEX('[1]5. Assess Risks'!$G$6:$G$704,MATCH('[1]Lists and Calcs (Hidden)'!AJ79,'[1]Lists and Calcs (Hidden)'!$AB$34:$AB$732,0))
))</f>
        <v>Likely</v>
      </c>
      <c r="Q55" s="92" t="str">
        <f>IF('[1]Lists and Calcs (Hidden)'!AJ79="","",
                    IF(INDEX('[1]5. Assess Risks'!$H$6:$H$704,MATCH('[1]Lists and Calcs (Hidden)'!AJ79,'[1]Lists and Calcs (Hidden)'!$AB$34:$AB$732,0))="","",
                                    INDEX('[1]5. Assess Risks'!$H$6:$H$704,MATCH('[1]Lists and Calcs (Hidden)'!AJ79,'[1]Lists and Calcs (Hidden)'!$AB$34:$AB$732,0))
))</f>
        <v>Moderate</v>
      </c>
      <c r="R55" s="93" t="str">
        <f>IFERROR(IF('[1]2. Prepare'!$O$50="Quantitative",INDEX('[1]Lists and Calcs (Hidden)'!$M$12:$Q$16,MATCH('[1]6. Risk Register Integration'!P55,'[1]Lists and Calcs (Hidden)'!$K$12:$K$16,0),MATCH('[1]6. Risk Register Integration'!Q55,'[1]Lists and Calcs (Hidden)'!$M$10:$Q$10,0)),INDEX('[1]Lists and Calcs (Hidden)'!$Z$12:$AD$16,MATCH('[1]6. Risk Register Integration'!P55,'[1]Lists and Calcs (Hidden)'!$X$12:$X$16,0),MATCH('[1]6. Risk Register Integration'!Q55,'[1]Lists and Calcs (Hidden)'!$Z$10:$AD$10,0))),"")</f>
        <v>Medium</v>
      </c>
      <c r="S55" s="94" t="str">
        <f>IF('[1]Lists and Calcs (Hidden)'!AJ79="","",
                    IF(INDEX('[1]5. Assess Risks'!$J$6:$J$704,MATCH('[1]Lists and Calcs (Hidden)'!AJ79,'[1]Lists and Calcs (Hidden)'!$AB$34:$AB$732,0))="","",
                                    INDEX('[1]5. Assess Risks'!$J$6:$J$704,MATCH('[1]Lists and Calcs (Hidden)'!AJ79,'[1]Lists and Calcs (Hidden)'!$AB$34:$AB$732,0))
))</f>
        <v>Formally Accept the Risk</v>
      </c>
      <c r="T55" s="102"/>
      <c r="U55" s="105"/>
      <c r="V55" s="106"/>
      <c r="W55" s="105"/>
      <c r="X55" s="105"/>
      <c r="Y55" s="89" t="str">
        <f>IF('[1]Lists and Calcs (Hidden)'!AJ79="","",
                    IF(INDEX('[1]5. Assess Risks'!$L$6:$L$704,MATCH('[1]Lists and Calcs (Hidden)'!AJ79,'[1]Lists and Calcs (Hidden)'!$AB$34:$AB$732,0))="","",
                                    INDEX('[1]5. Assess Risks'!$L$6:$L$704,MATCH('[1]Lists and Calcs (Hidden)'!AJ79,'[1]Lists and Calcs (Hidden)'!$AB$34:$AB$732,0))
))</f>
        <v>Source of residual risk: Ease of techniques, evasiveness.
Potential additional controls: File integrity monitoring, proactive threat hunting, code review, web server hardening.</v>
      </c>
      <c r="Z55" s="95"/>
      <c r="AA55" s="96"/>
      <c r="AB55" s="85"/>
      <c r="AC55" s="86"/>
      <c r="AD55" s="87" t="str">
        <f>IFERROR(IF('[1]2. Prepare'!$O$50="Quantitative",INDEX('[1]Lists and Calcs (Hidden)'!$M$12:$Q$16,MATCH('[1]6. Risk Register Integration'!AB55,'[1]Lists and Calcs (Hidden)'!$K$12:$K$16,0),MATCH('[1]6. Risk Register Integration'!AC55,'[1]Lists and Calcs (Hidden)'!$M$10:$Q$10,0)),INDEX('[1]Lists and Calcs (Hidden)'!$Z$12:$AD$16,MATCH('[1]6. Risk Register Integration'!AB55,'[1]Lists and Calcs (Hidden)'!$X$12:$X$16,0),MATCH('[1]6. Risk Register Integration'!AC55,'[1]Lists and Calcs (Hidden)'!$Z$10:$AD$10,0))),"")</f>
        <v/>
      </c>
      <c r="AE55" s="54"/>
      <c r="AF55" s="4"/>
      <c r="AG55" s="4"/>
    </row>
    <row r="56" spans="2:33" ht="330" customHeight="1" x14ac:dyDescent="0.2">
      <c r="B56" s="108"/>
      <c r="C56" s="98" t="str">
        <f>IF('[1]Lists and Calcs (Hidden)'!AJ80="","",
                    IF(INDEX('[1]5. Assess Risks'!$B$6:$B$704,MATCH('[1]Lists and Calcs (Hidden)'!AJ80,'[1]Lists and Calcs (Hidden)'!$AB$34:$AB$732,0))="","",
                                    INDEX('[1]5. Assess Risks'!$B$6:$B$704,MATCH('[1]Lists and Calcs (Hidden)'!AJ80,'[1]Lists and Calcs (Hidden)'!$AB$34:$AB$732,0))
))</f>
        <v xml:space="preserve">TRA1.60 - ERP System - A compromised web application can be used as a C2 server. An attacker might inject malicious code that allows them to communicate with other infected devices and issue commands remotely. This scenario is less common but can be used for specific purposes like controlling a network of hacked routers or launching coordinated attacks. 
More commonly, web-based applications are used as an initial access vector or an exploitation tool to gain a foothold on a system. Once the attacker has initial access, they might deploy a separate C2 mechanism. </v>
      </c>
      <c r="D56" s="90">
        <f>IF(C56="", "", '[1]2. Prepare'!$E$6)</f>
        <v>45033</v>
      </c>
      <c r="E56" s="91"/>
      <c r="F56" s="91"/>
      <c r="G56" s="91"/>
      <c r="H56" s="91"/>
      <c r="I56" s="98" t="str">
        <f>IF('[1]Lists and Calcs (Hidden)'!AJ80="","",
                    IF(INDEX('[1]5. Assess Risks'!$D$6:$D$704,MATCH('[1]Lists and Calcs (Hidden)'!AJ80,'[1]Lists and Calcs (Hidden)'!$AB$34:$AB$732,0))="","",
                                    INDEX('[1]5. Assess Risks'!$D$6:$D$704,MATCH('[1]Lists and Calcs (Hidden)'!AJ80,'[1]Lists and Calcs (Hidden)'!$AB$34:$AB$732,0))
))</f>
        <v>WAF, Email Filtering, Vulnerability Management Program, Application Safelisting, Security Awareness Training Program, Phishing Simulations, Firewall, Endpoint Detection and Response, Intrusion Detection and Protection, Data Loss Prevention.</v>
      </c>
      <c r="J56" s="91"/>
      <c r="K56" s="91"/>
      <c r="L56" s="91"/>
      <c r="M56" s="91"/>
      <c r="N56" s="91"/>
      <c r="O56" s="91"/>
      <c r="P56" s="99" t="str">
        <f>IF('[1]Lists and Calcs (Hidden)'!AJ80="","",
                    IF(INDEX('[1]5. Assess Risks'!$G$6:$G$704,MATCH('[1]Lists and Calcs (Hidden)'!AJ80,'[1]Lists and Calcs (Hidden)'!$AB$34:$AB$732,0))="","",
                                    INDEX('[1]5. Assess Risks'!$G$6:$G$704,MATCH('[1]Lists and Calcs (Hidden)'!AJ80,'[1]Lists and Calcs (Hidden)'!$AB$34:$AB$732,0))
))</f>
        <v>Possible</v>
      </c>
      <c r="Q56" s="99" t="str">
        <f>IF('[1]Lists and Calcs (Hidden)'!AJ80="","",
                    IF(INDEX('[1]5. Assess Risks'!$H$6:$H$704,MATCH('[1]Lists and Calcs (Hidden)'!AJ80,'[1]Lists and Calcs (Hidden)'!$AB$34:$AB$732,0))="","",
                                    INDEX('[1]5. Assess Risks'!$H$6:$H$704,MATCH('[1]Lists and Calcs (Hidden)'!AJ80,'[1]Lists and Calcs (Hidden)'!$AB$34:$AB$732,0))
))</f>
        <v>Moderate</v>
      </c>
      <c r="R56" s="100" t="str">
        <f>IFERROR(IF('[1]2. Prepare'!$O$50="Quantitative",INDEX('[1]Lists and Calcs (Hidden)'!$M$12:$Q$16,MATCH('[1]6. Risk Register Integration'!P56,'[1]Lists and Calcs (Hidden)'!$K$12:$K$16,0),MATCH('[1]6. Risk Register Integration'!Q56,'[1]Lists and Calcs (Hidden)'!$M$10:$Q$10,0)),INDEX('[1]Lists and Calcs (Hidden)'!$Z$12:$AD$16,MATCH('[1]6. Risk Register Integration'!P56,'[1]Lists and Calcs (Hidden)'!$X$12:$X$16,0),MATCH('[1]6. Risk Register Integration'!Q56,'[1]Lists and Calcs (Hidden)'!$Z$10:$AD$10,0))),"")</f>
        <v>Medium</v>
      </c>
      <c r="S56" s="101" t="str">
        <f>IF('[1]Lists and Calcs (Hidden)'!AJ80="","",
                    IF(INDEX('[1]5. Assess Risks'!$J$6:$J$704,MATCH('[1]Lists and Calcs (Hidden)'!AJ80,'[1]Lists and Calcs (Hidden)'!$AB$34:$AB$732,0))="","",
                                    INDEX('[1]5. Assess Risks'!$J$6:$J$704,MATCH('[1]Lists and Calcs (Hidden)'!AJ80,'[1]Lists and Calcs (Hidden)'!$AB$34:$AB$732,0))
))</f>
        <v>No New Actions Needed</v>
      </c>
      <c r="T56" s="102"/>
      <c r="U56" s="105"/>
      <c r="V56" s="106"/>
      <c r="W56" s="105"/>
      <c r="X56" s="105"/>
      <c r="Y56" s="98" t="str">
        <f>IF('[1]Lists and Calcs (Hidden)'!AJ80="","",
                    IF(INDEX('[1]5. Assess Risks'!$L$6:$L$704,MATCH('[1]Lists and Calcs (Hidden)'!AJ80,'[1]Lists and Calcs (Hidden)'!$AB$34:$AB$732,0))="","",
                                    INDEX('[1]5. Assess Risks'!$L$6:$L$704,MATCH('[1]Lists and Calcs (Hidden)'!AJ80,'[1]Lists and Calcs (Hidden)'!$AB$34:$AB$732,0))
))</f>
        <v>Source of residual risk: Web application complexity, vulnerability management, shared resources.
Potential additional controls: Least privilege, web application hardening, secure coding practices.</v>
      </c>
      <c r="Z56" s="95"/>
      <c r="AA56" s="96"/>
      <c r="AB56" s="85"/>
      <c r="AC56" s="86"/>
      <c r="AD56" s="87" t="str">
        <f>IFERROR(IF('[1]2. Prepare'!$O$50="Quantitative",INDEX('[1]Lists and Calcs (Hidden)'!$M$12:$Q$16,MATCH('[1]6. Risk Register Integration'!AB56,'[1]Lists and Calcs (Hidden)'!$K$12:$K$16,0),MATCH('[1]6. Risk Register Integration'!AC56,'[1]Lists and Calcs (Hidden)'!$M$10:$Q$10,0)),INDEX('[1]Lists and Calcs (Hidden)'!$Z$12:$AD$16,MATCH('[1]6. Risk Register Integration'!AB56,'[1]Lists and Calcs (Hidden)'!$X$12:$X$16,0),MATCH('[1]6. Risk Register Integration'!AC56,'[1]Lists and Calcs (Hidden)'!$Z$10:$AD$10,0))),"")</f>
        <v/>
      </c>
      <c r="AE56" s="54"/>
      <c r="AF56" s="4"/>
      <c r="AG56" s="4"/>
    </row>
    <row r="57" spans="2:33" ht="330" customHeight="1" x14ac:dyDescent="0.2">
      <c r="B57" s="107"/>
      <c r="C57" s="89" t="str">
        <f>IF('[1]Lists and Calcs (Hidden)'!AJ81="","",
                    IF(INDEX('[1]5. Assess Risks'!$B$6:$B$704,MATCH('[1]Lists and Calcs (Hidden)'!AJ81,'[1]Lists and Calcs (Hidden)'!$AB$34:$AB$732,0))="","",
                                    INDEX('[1]5. Assess Risks'!$B$6:$B$704,MATCH('[1]Lists and Calcs (Hidden)'!AJ81,'[1]Lists and Calcs (Hidden)'!$AB$34:$AB$732,0))
))</f>
        <v>TRA1.61 - ERP System - The ERP website is compromised by an attacker. The attacker injects malicious code into the web application that steals credit card information entered during the checkout process. This stolen data is then transmitted to the attacker's server over the internet.</v>
      </c>
      <c r="D57" s="90">
        <f>IF(C57="", "", '[1]2. Prepare'!$E$6)</f>
        <v>45033</v>
      </c>
      <c r="E57" s="91"/>
      <c r="F57" s="91"/>
      <c r="G57" s="91"/>
      <c r="H57" s="91"/>
      <c r="I57" s="89" t="str">
        <f>IF('[1]Lists and Calcs (Hidden)'!AJ81="","",
                    IF(INDEX('[1]5. Assess Risks'!$D$6:$D$704,MATCH('[1]Lists and Calcs (Hidden)'!AJ81,'[1]Lists and Calcs (Hidden)'!$AB$34:$AB$732,0))="","",
                                    INDEX('[1]5. Assess Risks'!$D$6:$D$704,MATCH('[1]Lists and Calcs (Hidden)'!AJ81,'[1]Lists and Calcs (Hidden)'!$AB$34:$AB$732,0))
))</f>
        <v>WAF, Email Filtering, Vulnerability Management Program, Application Safelisting, Security Awareness Training Program, Phishing Simulations, Firewall, Endpoint Detection and Response, Intrusion Detection and Protection, Data Loss Prevention.</v>
      </c>
      <c r="J57" s="91"/>
      <c r="K57" s="91"/>
      <c r="L57" s="91"/>
      <c r="M57" s="91"/>
      <c r="N57" s="91"/>
      <c r="O57" s="91"/>
      <c r="P57" s="92" t="str">
        <f>IF('[1]Lists and Calcs (Hidden)'!AJ81="","",
                    IF(INDEX('[1]5. Assess Risks'!$G$6:$G$704,MATCH('[1]Lists and Calcs (Hidden)'!AJ81,'[1]Lists and Calcs (Hidden)'!$AB$34:$AB$732,0))="","",
                                    INDEX('[1]5. Assess Risks'!$G$6:$G$704,MATCH('[1]Lists and Calcs (Hidden)'!AJ81,'[1]Lists and Calcs (Hidden)'!$AB$34:$AB$732,0))
))</f>
        <v>Likely</v>
      </c>
      <c r="Q57" s="92" t="str">
        <f>IF('[1]Lists and Calcs (Hidden)'!AJ81="","",
                    IF(INDEX('[1]5. Assess Risks'!$H$6:$H$704,MATCH('[1]Lists and Calcs (Hidden)'!AJ81,'[1]Lists and Calcs (Hidden)'!$AB$34:$AB$732,0))="","",
                                    INDEX('[1]5. Assess Risks'!$H$6:$H$704,MATCH('[1]Lists and Calcs (Hidden)'!AJ81,'[1]Lists and Calcs (Hidden)'!$AB$34:$AB$732,0))
))</f>
        <v>Minor</v>
      </c>
      <c r="R57" s="93" t="str">
        <f>IFERROR(IF('[1]2. Prepare'!$O$50="Quantitative",INDEX('[1]Lists and Calcs (Hidden)'!$M$12:$Q$16,MATCH('[1]6. Risk Register Integration'!P57,'[1]Lists and Calcs (Hidden)'!$K$12:$K$16,0),MATCH('[1]6. Risk Register Integration'!Q57,'[1]Lists and Calcs (Hidden)'!$M$10:$Q$10,0)),INDEX('[1]Lists and Calcs (Hidden)'!$Z$12:$AD$16,MATCH('[1]6. Risk Register Integration'!P57,'[1]Lists and Calcs (Hidden)'!$X$12:$X$16,0),MATCH('[1]6. Risk Register Integration'!Q57,'[1]Lists and Calcs (Hidden)'!$Z$10:$AD$10,0))),"")</f>
        <v>Medium</v>
      </c>
      <c r="S57" s="94" t="str">
        <f>IF('[1]Lists and Calcs (Hidden)'!AJ81="","",
                    IF(INDEX('[1]5. Assess Risks'!$J$6:$J$704,MATCH('[1]Lists and Calcs (Hidden)'!AJ81,'[1]Lists and Calcs (Hidden)'!$AB$34:$AB$732,0))="","",
                                    INDEX('[1]5. Assess Risks'!$J$6:$J$704,MATCH('[1]Lists and Calcs (Hidden)'!AJ81,'[1]Lists and Calcs (Hidden)'!$AB$34:$AB$732,0))
))</f>
        <v>No New Actions Needed</v>
      </c>
      <c r="T57" s="102"/>
      <c r="U57" s="105"/>
      <c r="V57" s="106"/>
      <c r="W57" s="105"/>
      <c r="X57" s="105"/>
      <c r="Y57" s="89" t="str">
        <f>IF('[1]Lists and Calcs (Hidden)'!AJ81="","",
                    IF(INDEX('[1]5. Assess Risks'!$L$6:$L$704,MATCH('[1]Lists and Calcs (Hidden)'!AJ81,'[1]Lists and Calcs (Hidden)'!$AB$34:$AB$732,0))="","",
                                    INDEX('[1]5. Assess Risks'!$L$6:$L$704,MATCH('[1]Lists and Calcs (Hidden)'!AJ81,'[1]Lists and Calcs (Hidden)'!$AB$34:$AB$732,0))
))</f>
        <v>Source of residual risk: Skilled attackers, zero-days, living off the land, tool development.
Potential additional control: assume compromise, layered detection, threat hunting, threat intelligence.</v>
      </c>
      <c r="Z57" s="95"/>
      <c r="AA57" s="96"/>
      <c r="AB57" s="85"/>
      <c r="AC57" s="86"/>
      <c r="AD57" s="87" t="str">
        <f>IFERROR(IF('[1]2. Prepare'!$O$50="Quantitative",INDEX('[1]Lists and Calcs (Hidden)'!$M$12:$Q$16,MATCH('[1]6. Risk Register Integration'!AB57,'[1]Lists and Calcs (Hidden)'!$K$12:$K$16,0),MATCH('[1]6. Risk Register Integration'!AC57,'[1]Lists and Calcs (Hidden)'!$M$10:$Q$10,0)),INDEX('[1]Lists and Calcs (Hidden)'!$Z$12:$AD$16,MATCH('[1]6. Risk Register Integration'!AB57,'[1]Lists and Calcs (Hidden)'!$X$12:$X$16,0),MATCH('[1]6. Risk Register Integration'!AC57,'[1]Lists and Calcs (Hidden)'!$Z$10:$AD$10,0))),"")</f>
        <v/>
      </c>
      <c r="AE57" s="54"/>
      <c r="AF57" s="4"/>
      <c r="AG57" s="4"/>
    </row>
    <row r="58" spans="2:33" ht="330" customHeight="1" x14ac:dyDescent="0.2">
      <c r="B58" s="108"/>
      <c r="C58" s="98" t="str">
        <f>IF('[1]Lists and Calcs (Hidden)'!AJ82="","",
                    IF(INDEX('[1]5. Assess Risks'!$B$6:$B$704,MATCH('[1]Lists and Calcs (Hidden)'!AJ82,'[1]Lists and Calcs (Hidden)'!$AB$34:$AB$732,0))="","",
                                    INDEX('[1]5. Assess Risks'!$B$6:$B$704,MATCH('[1]Lists and Calcs (Hidden)'!AJ82,'[1]Lists and Calcs (Hidden)'!$AB$34:$AB$732,0))
))</f>
        <v>TRA1.62 - ERP System - Denial of Service: A web application is bombarded with requests from multiple sources (perhaps through a botnet) in a coordinated attack. This overwhelming traffic surge disrupts normal functionality and prevents legitimate users from accessing the web application.
Data Breach: An attacker discovers a vulnerability in a web application that allows them to steal user or sensitive data. The attacker might exploit a vulnerability in the web application itself or inject malicious scripts to gather this sensitive information.</v>
      </c>
      <c r="D58" s="90">
        <f>IF(C58="", "", '[1]2. Prepare'!$E$6)</f>
        <v>45033</v>
      </c>
      <c r="E58" s="91"/>
      <c r="F58" s="91"/>
      <c r="G58" s="91"/>
      <c r="H58" s="91"/>
      <c r="I58" s="98" t="str">
        <f>IF('[1]Lists and Calcs (Hidden)'!AJ82="","",
                    IF(INDEX('[1]5. Assess Risks'!$D$6:$D$704,MATCH('[1]Lists and Calcs (Hidden)'!AJ82,'[1]Lists and Calcs (Hidden)'!$AB$34:$AB$732,0))="","",
                                    INDEX('[1]5. Assess Risks'!$D$6:$D$704,MATCH('[1]Lists and Calcs (Hidden)'!AJ82,'[1]Lists and Calcs (Hidden)'!$AB$34:$AB$732,0))
))</f>
        <v>WAF, Email Filtering, Vulnerability Management Program, Application Safelisting, Security Awareness Training Program, Phishing Simulations, Firewall, Endpoint Detection and Response, Intrusion Detection and Protection, Data Loss Prevention.</v>
      </c>
      <c r="J58" s="91"/>
      <c r="K58" s="91"/>
      <c r="L58" s="91"/>
      <c r="M58" s="91"/>
      <c r="N58" s="91"/>
      <c r="O58" s="91"/>
      <c r="P58" s="99" t="str">
        <f>IF('[1]Lists and Calcs (Hidden)'!AJ82="","",
                    IF(INDEX('[1]5. Assess Risks'!$G$6:$G$704,MATCH('[1]Lists and Calcs (Hidden)'!AJ82,'[1]Lists and Calcs (Hidden)'!$AB$34:$AB$732,0))="","",
                                    INDEX('[1]5. Assess Risks'!$G$6:$G$704,MATCH('[1]Lists and Calcs (Hidden)'!AJ82,'[1]Lists and Calcs (Hidden)'!$AB$34:$AB$732,0))
))</f>
        <v>Possible</v>
      </c>
      <c r="Q58" s="99" t="str">
        <f>IF('[1]Lists and Calcs (Hidden)'!AJ82="","",
                    IF(INDEX('[1]5. Assess Risks'!$H$6:$H$704,MATCH('[1]Lists and Calcs (Hidden)'!AJ82,'[1]Lists and Calcs (Hidden)'!$AB$34:$AB$732,0))="","",
                                    INDEX('[1]5. Assess Risks'!$H$6:$H$704,MATCH('[1]Lists and Calcs (Hidden)'!AJ82,'[1]Lists and Calcs (Hidden)'!$AB$34:$AB$732,0))
))</f>
        <v>Minor</v>
      </c>
      <c r="R58" s="100" t="str">
        <f>IFERROR(IF('[1]2. Prepare'!$O$50="Quantitative",INDEX('[1]Lists and Calcs (Hidden)'!$M$12:$Q$16,MATCH('[1]6. Risk Register Integration'!P58,'[1]Lists and Calcs (Hidden)'!$K$12:$K$16,0),MATCH('[1]6. Risk Register Integration'!Q58,'[1]Lists and Calcs (Hidden)'!$M$10:$Q$10,0)),INDEX('[1]Lists and Calcs (Hidden)'!$Z$12:$AD$16,MATCH('[1]6. Risk Register Integration'!P58,'[1]Lists and Calcs (Hidden)'!$X$12:$X$16,0),MATCH('[1]6. Risk Register Integration'!Q58,'[1]Lists and Calcs (Hidden)'!$Z$10:$AD$10,0))),"")</f>
        <v>Medium</v>
      </c>
      <c r="S58" s="101" t="str">
        <f>IF('[1]Lists and Calcs (Hidden)'!AJ82="","",
                    IF(INDEX('[1]5. Assess Risks'!$J$6:$J$704,MATCH('[1]Lists and Calcs (Hidden)'!AJ82,'[1]Lists and Calcs (Hidden)'!$AB$34:$AB$732,0))="","",
                                    INDEX('[1]5. Assess Risks'!$J$6:$J$704,MATCH('[1]Lists and Calcs (Hidden)'!AJ82,'[1]Lists and Calcs (Hidden)'!$AB$34:$AB$732,0))
))</f>
        <v>No New Actions Needed</v>
      </c>
      <c r="T58" s="102"/>
      <c r="U58" s="105"/>
      <c r="V58" s="106"/>
      <c r="W58" s="105"/>
      <c r="X58" s="105"/>
      <c r="Y58" s="98" t="str">
        <f>IF('[1]Lists and Calcs (Hidden)'!AJ82="","",
                    IF(INDEX('[1]5. Assess Risks'!$L$6:$L$704,MATCH('[1]Lists and Calcs (Hidden)'!AJ82,'[1]Lists and Calcs (Hidden)'!$AB$34:$AB$732,0))="","",
                                    INDEX('[1]5. Assess Risks'!$L$6:$L$704,MATCH('[1]Lists and Calcs (Hidden)'!AJ82,'[1]Lists and Calcs (Hidden)'!$AB$34:$AB$732,0))
))</f>
        <v>Source of residual risk: Web application credential storage, keylogger, weak password practices.
Potential additional controls: Secure credential storage, MFA, input validation, least privilege.</v>
      </c>
      <c r="Z58" s="95"/>
      <c r="AA58" s="96"/>
      <c r="AB58" s="85"/>
      <c r="AC58" s="86"/>
      <c r="AD58" s="87" t="str">
        <f>IFERROR(IF('[1]2. Prepare'!$O$50="Quantitative",INDEX('[1]Lists and Calcs (Hidden)'!$M$12:$Q$16,MATCH('[1]6. Risk Register Integration'!AB58,'[1]Lists and Calcs (Hidden)'!$K$12:$K$16,0),MATCH('[1]6. Risk Register Integration'!AC58,'[1]Lists and Calcs (Hidden)'!$M$10:$Q$10,0)),INDEX('[1]Lists and Calcs (Hidden)'!$Z$12:$AD$16,MATCH('[1]6. Risk Register Integration'!AB58,'[1]Lists and Calcs (Hidden)'!$X$12:$X$16,0),MATCH('[1]6. Risk Register Integration'!AC58,'[1]Lists and Calcs (Hidden)'!$Z$10:$AD$10,0))),"")</f>
        <v/>
      </c>
      <c r="AE58" s="54"/>
      <c r="AF58" s="4"/>
      <c r="AG58" s="4"/>
    </row>
    <row r="59" spans="2:33" ht="330" customHeight="1" x14ac:dyDescent="0.2">
      <c r="B59" s="107"/>
      <c r="C59" s="89" t="str">
        <f>IF('[1]Lists and Calcs (Hidden)'!AJ83="","",
                    IF(INDEX('[1]5. Assess Risks'!$B$6:$B$704,MATCH('[1]Lists and Calcs (Hidden)'!AJ83,'[1]Lists and Calcs (Hidden)'!$AB$34:$AB$732,0))="","",
                                    INDEX('[1]5. Assess Risks'!$B$6:$B$704,MATCH('[1]Lists and Calcs (Hidden)'!AJ83,'[1]Lists and Calcs (Hidden)'!$AB$34:$AB$732,0))
))</f>
        <v>TRA1.63 - ERP System - An attacker targets a system administrator's workstation. They launch a malware program that monitors and logs keystrokes or running processes. This malware specifically targets applications or functionalities related to system management tools. By gathering information about the types of management tools used and how they are configured, the attacker can identify potential weaknesses to exploit later.</v>
      </c>
      <c r="D59" s="90">
        <f>IF(C59="", "", '[1]2. Prepare'!$E$6)</f>
        <v>45033</v>
      </c>
      <c r="E59" s="91"/>
      <c r="F59" s="91"/>
      <c r="G59" s="91"/>
      <c r="H59" s="91"/>
      <c r="I59" s="89" t="str">
        <f>IF('[1]Lists and Calcs (Hidden)'!AJ83="","",
                    IF(INDEX('[1]5. Assess Risks'!$D$6:$D$704,MATCH('[1]Lists and Calcs (Hidden)'!AJ83,'[1]Lists and Calcs (Hidden)'!$AB$34:$AB$732,0))="","",
                                    INDEX('[1]5. Assess Risks'!$D$6:$D$704,MATCH('[1]Lists and Calcs (Hidden)'!AJ83,'[1]Lists and Calcs (Hidden)'!$AB$34:$AB$732,0))
))</f>
        <v>WAF, Email Filtering, Vulnerability Management Program, Application Safelisting, Security Awareness Training Program, Phishing Simulations, Firewall, Endpoint Detection and Response, Intrusion Detection and Protection, Data Loss Prevention.</v>
      </c>
      <c r="J59" s="91"/>
      <c r="K59" s="91"/>
      <c r="L59" s="91"/>
      <c r="M59" s="91"/>
      <c r="N59" s="91"/>
      <c r="O59" s="91"/>
      <c r="P59" s="92" t="str">
        <f>IF('[1]Lists and Calcs (Hidden)'!AJ83="","",
                    IF(INDEX('[1]5. Assess Risks'!$G$6:$G$704,MATCH('[1]Lists and Calcs (Hidden)'!AJ83,'[1]Lists and Calcs (Hidden)'!$AB$34:$AB$732,0))="","",
                                    INDEX('[1]5. Assess Risks'!$G$6:$G$704,MATCH('[1]Lists and Calcs (Hidden)'!AJ83,'[1]Lists and Calcs (Hidden)'!$AB$34:$AB$732,0))
))</f>
        <v>Possible</v>
      </c>
      <c r="Q59" s="92" t="str">
        <f>IF('[1]Lists and Calcs (Hidden)'!AJ83="","",
                    IF(INDEX('[1]5. Assess Risks'!$H$6:$H$704,MATCH('[1]Lists and Calcs (Hidden)'!AJ83,'[1]Lists and Calcs (Hidden)'!$AB$34:$AB$732,0))="","",
                                    INDEX('[1]5. Assess Risks'!$H$6:$H$704,MATCH('[1]Lists and Calcs (Hidden)'!AJ83,'[1]Lists and Calcs (Hidden)'!$AB$34:$AB$732,0))
))</f>
        <v>Minor</v>
      </c>
      <c r="R59" s="93" t="str">
        <f>IFERROR(IF('[1]2. Prepare'!$O$50="Quantitative",INDEX('[1]Lists and Calcs (Hidden)'!$M$12:$Q$16,MATCH('[1]6. Risk Register Integration'!P59,'[1]Lists and Calcs (Hidden)'!$K$12:$K$16,0),MATCH('[1]6. Risk Register Integration'!Q59,'[1]Lists and Calcs (Hidden)'!$M$10:$Q$10,0)),INDEX('[1]Lists and Calcs (Hidden)'!$Z$12:$AD$16,MATCH('[1]6. Risk Register Integration'!P59,'[1]Lists and Calcs (Hidden)'!$X$12:$X$16,0),MATCH('[1]6. Risk Register Integration'!Q59,'[1]Lists and Calcs (Hidden)'!$Z$10:$AD$10,0))),"")</f>
        <v>Medium</v>
      </c>
      <c r="S59" s="94" t="str">
        <f>IF('[1]Lists and Calcs (Hidden)'!AJ83="","",
                    IF(INDEX('[1]5. Assess Risks'!$J$6:$J$704,MATCH('[1]Lists and Calcs (Hidden)'!AJ83,'[1]Lists and Calcs (Hidden)'!$AB$34:$AB$732,0))="","",
                                    INDEX('[1]5. Assess Risks'!$J$6:$J$704,MATCH('[1]Lists and Calcs (Hidden)'!AJ83,'[1]Lists and Calcs (Hidden)'!$AB$34:$AB$732,0))
))</f>
        <v>No New Actions Needed</v>
      </c>
      <c r="T59" s="102"/>
      <c r="U59" s="105"/>
      <c r="V59" s="106"/>
      <c r="W59" s="105"/>
      <c r="X59" s="105"/>
      <c r="Y59" s="89" t="str">
        <f>IF('[1]Lists and Calcs (Hidden)'!AJ83="","",
                    IF(INDEX('[1]5. Assess Risks'!$L$6:$L$704,MATCH('[1]Lists and Calcs (Hidden)'!AJ83,'[1]Lists and Calcs (Hidden)'!$AB$34:$AB$732,0))="","",
                                    INDEX('[1]5. Assess Risks'!$L$6:$L$704,MATCH('[1]Lists and Calcs (Hidden)'!AJ83,'[1]Lists and Calcs (Hidden)'!$AB$34:$AB$732,0))
))</f>
        <v>Source of residual risk: Existing controls focus on pre-compromise with little post-compromise focus, ease of basic techniques, opportunities on servers.
Potential additional controls: Network traffic analysis, reduce external exposures, use a honeypot, implement least privilege.</v>
      </c>
      <c r="Z59" s="95"/>
      <c r="AA59" s="96"/>
      <c r="AB59" s="85"/>
      <c r="AC59" s="86"/>
      <c r="AD59" s="87" t="str">
        <f>IFERROR(IF('[1]2. Prepare'!$O$50="Quantitative",INDEX('[1]Lists and Calcs (Hidden)'!$M$12:$Q$16,MATCH('[1]6. Risk Register Integration'!AB59,'[1]Lists and Calcs (Hidden)'!$K$12:$K$16,0),MATCH('[1]6. Risk Register Integration'!AC59,'[1]Lists and Calcs (Hidden)'!$M$10:$Q$10,0)),INDEX('[1]Lists and Calcs (Hidden)'!$Z$12:$AD$16,MATCH('[1]6. Risk Register Integration'!AB59,'[1]Lists and Calcs (Hidden)'!$X$12:$X$16,0),MATCH('[1]6. Risk Register Integration'!AC59,'[1]Lists and Calcs (Hidden)'!$Z$10:$AD$10,0))),"")</f>
        <v/>
      </c>
      <c r="AE59" s="54"/>
      <c r="AF59" s="4"/>
      <c r="AG59" s="4"/>
    </row>
    <row r="60" spans="2:33" ht="330" customHeight="1" x14ac:dyDescent="0.2">
      <c r="B60" s="107"/>
      <c r="C60" s="98" t="str">
        <f>IF('[1]Lists and Calcs (Hidden)'!AJ84="","",
                    IF(INDEX('[1]5. Assess Risks'!$B$6:$B$704,MATCH('[1]Lists and Calcs (Hidden)'!AJ84,'[1]Lists and Calcs (Hidden)'!$AB$34:$AB$732,0))="","",
                                    INDEX('[1]5. Assess Risks'!$B$6:$B$704,MATCH('[1]Lists and Calcs (Hidden)'!AJ84,'[1]Lists and Calcs (Hidden)'!$AB$34:$AB$732,0))
))</f>
        <v>TRA1.64 - ERP System - An attacker gains initial access to a system. They discover a legitimate management tool with functionalities that could be misused for privilege escalation or lateral movement. The attacker then explores ways to exploit or abuse this tool's functionalities to achieve their goals. This could involve techniques like manipulating configurations, chaining functionalities, or even exploiting vulnerabilities within the management tool itself.</v>
      </c>
      <c r="D60" s="90">
        <f>IF(C60="", "", '[1]2. Prepare'!$E$6)</f>
        <v>45033</v>
      </c>
      <c r="E60" s="91"/>
      <c r="F60" s="91"/>
      <c r="G60" s="91"/>
      <c r="H60" s="91"/>
      <c r="I60" s="98" t="str">
        <f>IF('[1]Lists and Calcs (Hidden)'!AJ84="","",
                    IF(INDEX('[1]5. Assess Risks'!$D$6:$D$704,MATCH('[1]Lists and Calcs (Hidden)'!AJ84,'[1]Lists and Calcs (Hidden)'!$AB$34:$AB$732,0))="","",
                                    INDEX('[1]5. Assess Risks'!$D$6:$D$704,MATCH('[1]Lists and Calcs (Hidden)'!AJ84,'[1]Lists and Calcs (Hidden)'!$AB$34:$AB$732,0))
))</f>
        <v>WAF, Email Filtering, Vulnerability Management Program, Application Safelisting, Security Awareness Training Program, Phishing Simulations, Firewall, Endpoint Detection and Response, Intrusion Detection and Protection, Data Loss Prevention.</v>
      </c>
      <c r="J60" s="91"/>
      <c r="K60" s="91"/>
      <c r="L60" s="91"/>
      <c r="M60" s="91"/>
      <c r="N60" s="91"/>
      <c r="O60" s="91"/>
      <c r="P60" s="99" t="str">
        <f>IF('[1]Lists and Calcs (Hidden)'!AJ84="","",
                    IF(INDEX('[1]5. Assess Risks'!$G$6:$G$704,MATCH('[1]Lists and Calcs (Hidden)'!AJ84,'[1]Lists and Calcs (Hidden)'!$AB$34:$AB$732,0))="","",
                                    INDEX('[1]5. Assess Risks'!$G$6:$G$704,MATCH('[1]Lists and Calcs (Hidden)'!AJ84,'[1]Lists and Calcs (Hidden)'!$AB$34:$AB$732,0))
))</f>
        <v>Possible</v>
      </c>
      <c r="Q60" s="99" t="str">
        <f>IF('[1]Lists and Calcs (Hidden)'!AJ84="","",
                    IF(INDEX('[1]5. Assess Risks'!$H$6:$H$704,MATCH('[1]Lists and Calcs (Hidden)'!AJ84,'[1]Lists and Calcs (Hidden)'!$AB$34:$AB$732,0))="","",
                                    INDEX('[1]5. Assess Risks'!$H$6:$H$704,MATCH('[1]Lists and Calcs (Hidden)'!AJ84,'[1]Lists and Calcs (Hidden)'!$AB$34:$AB$732,0))
))</f>
        <v>Moderate</v>
      </c>
      <c r="R60" s="100" t="str">
        <f>IFERROR(IF('[1]2. Prepare'!$O$50="Quantitative",INDEX('[1]Lists and Calcs (Hidden)'!$M$12:$Q$16,MATCH('[1]6. Risk Register Integration'!P60,'[1]Lists and Calcs (Hidden)'!$K$12:$K$16,0),MATCH('[1]6. Risk Register Integration'!Q60,'[1]Lists and Calcs (Hidden)'!$M$10:$Q$10,0)),INDEX('[1]Lists and Calcs (Hidden)'!$Z$12:$AD$16,MATCH('[1]6. Risk Register Integration'!P60,'[1]Lists and Calcs (Hidden)'!$X$12:$X$16,0),MATCH('[1]6. Risk Register Integration'!Q60,'[1]Lists and Calcs (Hidden)'!$Z$10:$AD$10,0))),"")</f>
        <v>Medium</v>
      </c>
      <c r="S60" s="101" t="str">
        <f>IF('[1]Lists and Calcs (Hidden)'!AJ84="","",
                    IF(INDEX('[1]5. Assess Risks'!$J$6:$J$704,MATCH('[1]Lists and Calcs (Hidden)'!AJ84,'[1]Lists and Calcs (Hidden)'!$AB$34:$AB$732,0))="","",
                                    INDEX('[1]5. Assess Risks'!$J$6:$J$704,MATCH('[1]Lists and Calcs (Hidden)'!AJ84,'[1]Lists and Calcs (Hidden)'!$AB$34:$AB$732,0))
))</f>
        <v>No New Actions Needed</v>
      </c>
      <c r="T60" s="102"/>
      <c r="U60" s="105"/>
      <c r="V60" s="106"/>
      <c r="W60" s="105"/>
      <c r="X60" s="105"/>
      <c r="Y60" s="98" t="str">
        <f>IF('[1]Lists and Calcs (Hidden)'!AJ84="","",
                    IF(INDEX('[1]5. Assess Risks'!$L$6:$L$704,MATCH('[1]Lists and Calcs (Hidden)'!AJ84,'[1]Lists and Calcs (Hidden)'!$AB$34:$AB$732,0))="","",
                                    INDEX('[1]5. Assess Risks'!$L$6:$L$704,MATCH('[1]Lists and Calcs (Hidden)'!AJ84,'[1]Lists and Calcs (Hidden)'!$AB$34:$AB$732,0))
))</f>
        <v>Source of residual risk: Existing controls focus on pre-compromise with little post-compromise focus.
Potential additional controls: File integrity monitoring, least privilege.</v>
      </c>
      <c r="Z60" s="95"/>
      <c r="AA60" s="96"/>
      <c r="AB60" s="85"/>
      <c r="AC60" s="86"/>
      <c r="AD60" s="87" t="str">
        <f>IFERROR(IF('[1]2. Prepare'!$O$50="Quantitative",INDEX('[1]Lists and Calcs (Hidden)'!$M$12:$Q$16,MATCH('[1]6. Risk Register Integration'!AB60,'[1]Lists and Calcs (Hidden)'!$K$12:$K$16,0),MATCH('[1]6. Risk Register Integration'!AC60,'[1]Lists and Calcs (Hidden)'!$M$10:$Q$10,0)),INDEX('[1]Lists and Calcs (Hidden)'!$Z$12:$AD$16,MATCH('[1]6. Risk Register Integration'!AB60,'[1]Lists and Calcs (Hidden)'!$X$12:$X$16,0),MATCH('[1]6. Risk Register Integration'!AC60,'[1]Lists and Calcs (Hidden)'!$Z$10:$AD$10,0))),"")</f>
        <v/>
      </c>
      <c r="AE60" s="54"/>
      <c r="AF60" s="4"/>
      <c r="AG60" s="4"/>
    </row>
    <row r="61" spans="2:33" ht="330" customHeight="1" x14ac:dyDescent="0.2">
      <c r="B61" s="107"/>
      <c r="C61" s="89" t="str">
        <f>IF('[1]Lists and Calcs (Hidden)'!AJ85="","",
                    IF(INDEX('[1]5. Assess Risks'!$B$6:$B$704,MATCH('[1]Lists and Calcs (Hidden)'!AJ85,'[1]Lists and Calcs (Hidden)'!$AB$34:$AB$732,0))="","",
                                    INDEX('[1]5. Assess Risks'!$B$6:$B$704,MATCH('[1]Lists and Calcs (Hidden)'!AJ85,'[1]Lists and Calcs (Hidden)'!$AB$34:$AB$732,0))
))</f>
        <v>TRA1.65 - ERP System - An attacker gains access to a system with a legitimate remote management tool installed. This tool allows administrators to execute commands on remote machines. The attacker exploits a vulnerability within the remote management tool itself or compromises the administrator's credentials to gain access. Once in control, the attacker can execute arbitrary commands on other systems through the compromised management tool, potentially granting unauthorized access or control over critical systems.</v>
      </c>
      <c r="D61" s="90">
        <f>IF(C61="", "", '[1]2. Prepare'!$E$6)</f>
        <v>45033</v>
      </c>
      <c r="E61" s="91"/>
      <c r="F61" s="91"/>
      <c r="G61" s="91"/>
      <c r="H61" s="91"/>
      <c r="I61" s="89" t="str">
        <f>IF('[1]Lists and Calcs (Hidden)'!AJ85="","",
                    IF(INDEX('[1]5. Assess Risks'!$D$6:$D$704,MATCH('[1]Lists and Calcs (Hidden)'!AJ85,'[1]Lists and Calcs (Hidden)'!$AB$34:$AB$732,0))="","",
                                    INDEX('[1]5. Assess Risks'!$D$6:$D$704,MATCH('[1]Lists and Calcs (Hidden)'!AJ85,'[1]Lists and Calcs (Hidden)'!$AB$34:$AB$732,0))
))</f>
        <v>WAF, Email Filtering, Vulnerability Management Program, Application Safelisting, Security Awareness Training Program, Phishing Simulations, Firewall, Endpoint Detection and Response, Intrusion Detection and Protection, Data Loss Prevention.</v>
      </c>
      <c r="J61" s="91"/>
      <c r="K61" s="91"/>
      <c r="L61" s="91"/>
      <c r="M61" s="91"/>
      <c r="N61" s="91"/>
      <c r="O61" s="91"/>
      <c r="P61" s="92" t="str">
        <f>IF('[1]Lists and Calcs (Hidden)'!AJ85="","",
                    IF(INDEX('[1]5. Assess Risks'!$G$6:$G$704,MATCH('[1]Lists and Calcs (Hidden)'!AJ85,'[1]Lists and Calcs (Hidden)'!$AB$34:$AB$732,0))="","",
                                    INDEX('[1]5. Assess Risks'!$G$6:$G$704,MATCH('[1]Lists and Calcs (Hidden)'!AJ85,'[1]Lists and Calcs (Hidden)'!$AB$34:$AB$732,0))
))</f>
        <v>Possible</v>
      </c>
      <c r="Q61" s="92" t="str">
        <f>IF('[1]Lists and Calcs (Hidden)'!AJ85="","",
                    IF(INDEX('[1]5. Assess Risks'!$H$6:$H$704,MATCH('[1]Lists and Calcs (Hidden)'!AJ85,'[1]Lists and Calcs (Hidden)'!$AB$34:$AB$732,0))="","",
                                    INDEX('[1]5. Assess Risks'!$H$6:$H$704,MATCH('[1]Lists and Calcs (Hidden)'!AJ85,'[1]Lists and Calcs (Hidden)'!$AB$34:$AB$732,0))
))</f>
        <v>Moderate</v>
      </c>
      <c r="R61" s="93" t="str">
        <f>IFERROR(IF('[1]2. Prepare'!$O$50="Quantitative",INDEX('[1]Lists and Calcs (Hidden)'!$M$12:$Q$16,MATCH('[1]6. Risk Register Integration'!P61,'[1]Lists and Calcs (Hidden)'!$K$12:$K$16,0),MATCH('[1]6. Risk Register Integration'!Q61,'[1]Lists and Calcs (Hidden)'!$M$10:$Q$10,0)),INDEX('[1]Lists and Calcs (Hidden)'!$Z$12:$AD$16,MATCH('[1]6. Risk Register Integration'!P61,'[1]Lists and Calcs (Hidden)'!$X$12:$X$16,0),MATCH('[1]6. Risk Register Integration'!Q61,'[1]Lists and Calcs (Hidden)'!$Z$10:$AD$10,0))),"")</f>
        <v>Medium</v>
      </c>
      <c r="S61" s="94" t="str">
        <f>IF('[1]Lists and Calcs (Hidden)'!AJ85="","",
                    IF(INDEX('[1]5. Assess Risks'!$J$6:$J$704,MATCH('[1]Lists and Calcs (Hidden)'!AJ85,'[1]Lists and Calcs (Hidden)'!$AB$34:$AB$732,0))="","",
                                    INDEX('[1]5. Assess Risks'!$J$6:$J$704,MATCH('[1]Lists and Calcs (Hidden)'!AJ85,'[1]Lists and Calcs (Hidden)'!$AB$34:$AB$732,0))
))</f>
        <v>No New Actions Needed</v>
      </c>
      <c r="T61" s="102"/>
      <c r="U61" s="105"/>
      <c r="V61" s="106"/>
      <c r="W61" s="105"/>
      <c r="X61" s="105"/>
      <c r="Y61" s="89" t="str">
        <f>IF('[1]Lists and Calcs (Hidden)'!AJ85="","",
                    IF(INDEX('[1]5. Assess Risks'!$L$6:$L$704,MATCH('[1]Lists and Calcs (Hidden)'!AJ85,'[1]Lists and Calcs (Hidden)'!$AB$34:$AB$732,0))="","",
                                    INDEX('[1]5. Assess Risks'!$L$6:$L$704,MATCH('[1]Lists and Calcs (Hidden)'!AJ85,'[1]Lists and Calcs (Hidden)'!$AB$34:$AB$732,0))
))</f>
        <v>Source of residual risk: Web applications often communicate over the network, living off the land, evasion tactics.
Potential additional controls: Egress filtering, traffic analysis, behavioral detection, threat hunting.</v>
      </c>
      <c r="Z61" s="95"/>
      <c r="AA61" s="96"/>
      <c r="AB61" s="85"/>
      <c r="AC61" s="86"/>
      <c r="AD61" s="87" t="str">
        <f>IFERROR(IF('[1]2. Prepare'!$O$50="Quantitative",INDEX('[1]Lists and Calcs (Hidden)'!$M$12:$Q$16,MATCH('[1]6. Risk Register Integration'!AB61,'[1]Lists and Calcs (Hidden)'!$K$12:$K$16,0),MATCH('[1]6. Risk Register Integration'!AC61,'[1]Lists and Calcs (Hidden)'!$M$10:$Q$10,0)),INDEX('[1]Lists and Calcs (Hidden)'!$Z$12:$AD$16,MATCH('[1]6. Risk Register Integration'!AB61,'[1]Lists and Calcs (Hidden)'!$X$12:$X$16,0),MATCH('[1]6. Risk Register Integration'!AC61,'[1]Lists and Calcs (Hidden)'!$Z$10:$AD$10,0))),"")</f>
        <v/>
      </c>
      <c r="AE61" s="54"/>
      <c r="AF61" s="4"/>
      <c r="AG61" s="4"/>
    </row>
    <row r="62" spans="2:33" ht="330" customHeight="1" x14ac:dyDescent="0.2">
      <c r="B62" s="108"/>
      <c r="C62" s="98" t="str">
        <f>IF('[1]Lists and Calcs (Hidden)'!AJ86="","",
                    IF(INDEX('[1]5. Assess Risks'!$B$6:$B$704,MATCH('[1]Lists and Calcs (Hidden)'!AJ86,'[1]Lists and Calcs (Hidden)'!$AB$34:$AB$732,0))="","",
                                    INDEX('[1]5. Assess Risks'!$B$6:$B$704,MATCH('[1]Lists and Calcs (Hidden)'!AJ86,'[1]Lists and Calcs (Hidden)'!$AB$34:$AB$732,0))
))</f>
        <v xml:space="preserve">TRA1.66 - ERP System - Attackers can exploit vulnerabilities or misconfigurations in legitimate management tools to create persistence. For instance, an attacker might access a remote management tool to modify system configurations. They could then embed a malicious script or schedule a task that grants them persistent remote access. An attacker could also exploit a vulnerability within a management tool to gain access and escalate privileges. Once they have a higher privilege level, they can deploy more traditional persistence mechanisms like creating hidden user accounts or modifying startup scripts. </v>
      </c>
      <c r="D62" s="90">
        <f>IF(C62="", "", '[1]2. Prepare'!$E$6)</f>
        <v>45033</v>
      </c>
      <c r="E62" s="91"/>
      <c r="F62" s="91"/>
      <c r="G62" s="91"/>
      <c r="H62" s="91"/>
      <c r="I62" s="98" t="str">
        <f>IF('[1]Lists and Calcs (Hidden)'!AJ86="","",
                    IF(INDEX('[1]5. Assess Risks'!$D$6:$D$704,MATCH('[1]Lists and Calcs (Hidden)'!AJ86,'[1]Lists and Calcs (Hidden)'!$AB$34:$AB$732,0))="","",
                                    INDEX('[1]5. Assess Risks'!$D$6:$D$704,MATCH('[1]Lists and Calcs (Hidden)'!AJ86,'[1]Lists and Calcs (Hidden)'!$AB$34:$AB$732,0))
))</f>
        <v>WAF, Email Filtering, Vulnerability Management Program, Application Safelisting, Security Awareness Training Program, Phishing Simulations, Firewall, Endpoint Detection and Response, Intrusion Detection and Protection, Data Loss Prevention.</v>
      </c>
      <c r="J62" s="91"/>
      <c r="K62" s="91"/>
      <c r="L62" s="91"/>
      <c r="M62" s="91"/>
      <c r="N62" s="91"/>
      <c r="O62" s="91"/>
      <c r="P62" s="99" t="str">
        <f>IF('[1]Lists and Calcs (Hidden)'!AJ86="","",
                    IF(INDEX('[1]5. Assess Risks'!$G$6:$G$704,MATCH('[1]Lists and Calcs (Hidden)'!AJ86,'[1]Lists and Calcs (Hidden)'!$AB$34:$AB$732,0))="","",
                                    INDEX('[1]5. Assess Risks'!$G$6:$G$704,MATCH('[1]Lists and Calcs (Hidden)'!AJ86,'[1]Lists and Calcs (Hidden)'!$AB$34:$AB$732,0))
))</f>
        <v>Possible</v>
      </c>
      <c r="Q62" s="99" t="str">
        <f>IF('[1]Lists and Calcs (Hidden)'!AJ86="","",
                    IF(INDEX('[1]5. Assess Risks'!$H$6:$H$704,MATCH('[1]Lists and Calcs (Hidden)'!AJ86,'[1]Lists and Calcs (Hidden)'!$AB$34:$AB$732,0))="","",
                                    INDEX('[1]5. Assess Risks'!$H$6:$H$704,MATCH('[1]Lists and Calcs (Hidden)'!AJ86,'[1]Lists and Calcs (Hidden)'!$AB$34:$AB$732,0))
))</f>
        <v>Major</v>
      </c>
      <c r="R62" s="100" t="str">
        <f>IFERROR(IF('[1]2. Prepare'!$O$50="Quantitative",INDEX('[1]Lists and Calcs (Hidden)'!$M$12:$Q$16,MATCH('[1]6. Risk Register Integration'!P62,'[1]Lists and Calcs (Hidden)'!$K$12:$K$16,0),MATCH('[1]6. Risk Register Integration'!Q62,'[1]Lists and Calcs (Hidden)'!$M$10:$Q$10,0)),INDEX('[1]Lists and Calcs (Hidden)'!$Z$12:$AD$16,MATCH('[1]6. Risk Register Integration'!P62,'[1]Lists and Calcs (Hidden)'!$X$12:$X$16,0),MATCH('[1]6. Risk Register Integration'!Q62,'[1]Lists and Calcs (Hidden)'!$Z$10:$AD$10,0))),"")</f>
        <v>Medium</v>
      </c>
      <c r="S62" s="101" t="str">
        <f>IF('[1]Lists and Calcs (Hidden)'!AJ86="","",
                    IF(INDEX('[1]5. Assess Risks'!$J$6:$J$704,MATCH('[1]Lists and Calcs (Hidden)'!AJ86,'[1]Lists and Calcs (Hidden)'!$AB$34:$AB$732,0))="","",
                                    INDEX('[1]5. Assess Risks'!$J$6:$J$704,MATCH('[1]Lists and Calcs (Hidden)'!AJ86,'[1]Lists and Calcs (Hidden)'!$AB$34:$AB$732,0))
))</f>
        <v>Formally Accept the Risk</v>
      </c>
      <c r="T62" s="102"/>
      <c r="U62" s="105"/>
      <c r="V62" s="106"/>
      <c r="W62" s="105"/>
      <c r="X62" s="105"/>
      <c r="Y62" s="98" t="str">
        <f>IF('[1]Lists and Calcs (Hidden)'!AJ86="","",
                    IF(INDEX('[1]5. Assess Risks'!$L$6:$L$704,MATCH('[1]Lists and Calcs (Hidden)'!AJ86,'[1]Lists and Calcs (Hidden)'!$AB$34:$AB$732,0))="","",
                                    INDEX('[1]5. Assess Risks'!$L$6:$L$704,MATCH('[1]Lists and Calcs (Hidden)'!AJ86,'[1]Lists and Calcs (Hidden)'!$AB$34:$AB$732,0))
))</f>
        <v>Source of residual risk: Data access, evasion tactics, living off the land.
Potential additional controls: Egress filtering, traffic analysis, CASB, user behavior analytics.</v>
      </c>
      <c r="Z62" s="95"/>
      <c r="AA62" s="96"/>
      <c r="AB62" s="85"/>
      <c r="AC62" s="86"/>
      <c r="AD62" s="87" t="str">
        <f>IFERROR(IF('[1]2. Prepare'!$O$50="Quantitative",INDEX('[1]Lists and Calcs (Hidden)'!$M$12:$Q$16,MATCH('[1]6. Risk Register Integration'!AB62,'[1]Lists and Calcs (Hidden)'!$K$12:$K$16,0),MATCH('[1]6. Risk Register Integration'!AC62,'[1]Lists and Calcs (Hidden)'!$M$10:$Q$10,0)),INDEX('[1]Lists and Calcs (Hidden)'!$Z$12:$AD$16,MATCH('[1]6. Risk Register Integration'!AB62,'[1]Lists and Calcs (Hidden)'!$X$12:$X$16,0),MATCH('[1]6. Risk Register Integration'!AC62,'[1]Lists and Calcs (Hidden)'!$Z$10:$AD$10,0))),"")</f>
        <v/>
      </c>
      <c r="AE62" s="54"/>
      <c r="AF62" s="4"/>
      <c r="AG62" s="4"/>
    </row>
    <row r="63" spans="2:33" ht="330" customHeight="1" x14ac:dyDescent="0.2">
      <c r="B63" s="107"/>
      <c r="C63" s="89" t="str">
        <f>IF('[1]Lists and Calcs (Hidden)'!AJ87="","",
                    IF(INDEX('[1]5. Assess Risks'!$B$6:$B$704,MATCH('[1]Lists and Calcs (Hidden)'!AJ87,'[1]Lists and Calcs (Hidden)'!$AB$34:$AB$732,0))="","",
                                    INDEX('[1]5. Assess Risks'!$B$6:$B$704,MATCH('[1]Lists and Calcs (Hidden)'!AJ87,'[1]Lists and Calcs (Hidden)'!$AB$34:$AB$732,0))
))</f>
        <v>TRA1.67 - ERP System - An attacker discovers a vulnerability within a system management tool that allows them to bypass security controls or elevate privileges. This vulnerability might be a flaw that grants unauthorized access to sensitive functionalities or resources on the system. By exploiting this vulnerability within the management tools, the attacker can potentially escalate their privileges from a standard user to an administrator, gaining full control over the system.</v>
      </c>
      <c r="D63" s="90">
        <f>IF(C63="", "", '[1]2. Prepare'!$E$6)</f>
        <v>45033</v>
      </c>
      <c r="E63" s="91"/>
      <c r="F63" s="91"/>
      <c r="G63" s="91"/>
      <c r="H63" s="91"/>
      <c r="I63" s="89" t="str">
        <f>IF('[1]Lists and Calcs (Hidden)'!AJ87="","",
                    IF(INDEX('[1]5. Assess Risks'!$D$6:$D$704,MATCH('[1]Lists and Calcs (Hidden)'!AJ87,'[1]Lists and Calcs (Hidden)'!$AB$34:$AB$732,0))="","",
                                    INDEX('[1]5. Assess Risks'!$D$6:$D$704,MATCH('[1]Lists and Calcs (Hidden)'!AJ87,'[1]Lists and Calcs (Hidden)'!$AB$34:$AB$732,0))
))</f>
        <v>WAF, Email Filtering, Vulnerability Management Program, Application Safelisting, Security Awareness Training Program, Phishing Simulations, Firewall, Endpoint Detection and Response, Intrusion Detection and Protection, Data Loss Prevention.</v>
      </c>
      <c r="J63" s="91"/>
      <c r="K63" s="91"/>
      <c r="L63" s="91"/>
      <c r="M63" s="91"/>
      <c r="N63" s="91"/>
      <c r="O63" s="91"/>
      <c r="P63" s="92" t="str">
        <f>IF('[1]Lists and Calcs (Hidden)'!AJ87="","",
                    IF(INDEX('[1]5. Assess Risks'!$G$6:$G$704,MATCH('[1]Lists and Calcs (Hidden)'!AJ87,'[1]Lists and Calcs (Hidden)'!$AB$34:$AB$732,0))="","",
                                    INDEX('[1]5. Assess Risks'!$G$6:$G$704,MATCH('[1]Lists and Calcs (Hidden)'!AJ87,'[1]Lists and Calcs (Hidden)'!$AB$34:$AB$732,0))
))</f>
        <v>Possible</v>
      </c>
      <c r="Q63" s="92" t="str">
        <f>IF('[1]Lists and Calcs (Hidden)'!AJ87="","",
                    IF(INDEX('[1]5. Assess Risks'!$H$6:$H$704,MATCH('[1]Lists and Calcs (Hidden)'!AJ87,'[1]Lists and Calcs (Hidden)'!$AB$34:$AB$732,0))="","",
                                    INDEX('[1]5. Assess Risks'!$H$6:$H$704,MATCH('[1]Lists and Calcs (Hidden)'!AJ87,'[1]Lists and Calcs (Hidden)'!$AB$34:$AB$732,0))
))</f>
        <v>Catastrophic</v>
      </c>
      <c r="R63" s="93" t="str">
        <f>IFERROR(IF('[1]2. Prepare'!$O$50="Quantitative",INDEX('[1]Lists and Calcs (Hidden)'!$M$12:$Q$16,MATCH('[1]6. Risk Register Integration'!P63,'[1]Lists and Calcs (Hidden)'!$K$12:$K$16,0),MATCH('[1]6. Risk Register Integration'!Q63,'[1]Lists and Calcs (Hidden)'!$M$10:$Q$10,0)),INDEX('[1]Lists and Calcs (Hidden)'!$Z$12:$AD$16,MATCH('[1]6. Risk Register Integration'!P63,'[1]Lists and Calcs (Hidden)'!$X$12:$X$16,0),MATCH('[1]6. Risk Register Integration'!Q63,'[1]Lists and Calcs (Hidden)'!$Z$10:$AD$10,0))),"")</f>
        <v>High</v>
      </c>
      <c r="S63" s="94" t="str">
        <f>IF('[1]Lists and Calcs (Hidden)'!AJ87="","",
                    IF(INDEX('[1]5. Assess Risks'!$J$6:$J$704,MATCH('[1]Lists and Calcs (Hidden)'!AJ87,'[1]Lists and Calcs (Hidden)'!$AB$34:$AB$732,0))="","",
                                    INDEX('[1]5. Assess Risks'!$J$6:$J$704,MATCH('[1]Lists and Calcs (Hidden)'!AJ87,'[1]Lists and Calcs (Hidden)'!$AB$34:$AB$732,0))
))</f>
        <v>Mitigate the Risk</v>
      </c>
      <c r="T63" s="102"/>
      <c r="U63" s="105"/>
      <c r="V63" s="106"/>
      <c r="W63" s="105"/>
      <c r="X63" s="105"/>
      <c r="Y63" s="89" t="str">
        <f>IF('[1]Lists and Calcs (Hidden)'!AJ87="","",
                    IF(INDEX('[1]5. Assess Risks'!$L$6:$L$704,MATCH('[1]Lists and Calcs (Hidden)'!AJ87,'[1]Lists and Calcs (Hidden)'!$AB$34:$AB$732,0))="","",
                                    INDEX('[1]5. Assess Risks'!$L$6:$L$704,MATCH('[1]Lists and Calcs (Hidden)'!AJ87,'[1]Lists and Calcs (Hidden)'!$AB$34:$AB$732,0))
))</f>
        <v>Source of residual risk: Ransomware, skilled attackers, zero-days.
Potential additional controls: Robust backups, incident response planning, least privilege.</v>
      </c>
      <c r="Z63" s="95"/>
      <c r="AA63" s="96"/>
      <c r="AB63" s="85"/>
      <c r="AC63" s="86"/>
      <c r="AD63" s="87" t="str">
        <f>IFERROR(IF('[1]2. Prepare'!$O$50="Quantitative",INDEX('[1]Lists and Calcs (Hidden)'!$M$12:$Q$16,MATCH('[1]6. Risk Register Integration'!AB63,'[1]Lists and Calcs (Hidden)'!$K$12:$K$16,0),MATCH('[1]6. Risk Register Integration'!AC63,'[1]Lists and Calcs (Hidden)'!$M$10:$Q$10,0)),INDEX('[1]Lists and Calcs (Hidden)'!$Z$12:$AD$16,MATCH('[1]6. Risk Register Integration'!AB63,'[1]Lists and Calcs (Hidden)'!$X$12:$X$16,0),MATCH('[1]6. Risk Register Integration'!AC63,'[1]Lists and Calcs (Hidden)'!$Z$10:$AD$10,0))),"")</f>
        <v/>
      </c>
      <c r="AE63" s="54"/>
      <c r="AF63" s="4"/>
      <c r="AG63" s="4"/>
    </row>
    <row r="64" spans="2:33" ht="330" customHeight="1" x14ac:dyDescent="0.2">
      <c r="B64" s="107"/>
      <c r="C64" s="98" t="str">
        <f>IF('[1]Lists and Calcs (Hidden)'!AJ88="","",
                    IF(INDEX('[1]5. Assess Risks'!$B$6:$B$704,MATCH('[1]Lists and Calcs (Hidden)'!AJ88,'[1]Lists and Calcs (Hidden)'!$AB$34:$AB$732,0))="","",
                                    INDEX('[1]5. Assess Risks'!$B$6:$B$704,MATCH('[1]Lists and Calcs (Hidden)'!AJ88,'[1]Lists and Calcs (Hidden)'!$AB$34:$AB$732,0))
))</f>
        <v>TRA1.68 - ERP System - An attacker gains access to a system with a legitimate management tool. This tool offers functionalities that administrators use for system monitoring and auditing. The attacker modifies the configurations within the management tool to disable security logs or manipulate monitoring tools. These actions make it harder for defenders to detect suspicious activity or identify the attacker's presence within the system.</v>
      </c>
      <c r="D64" s="90">
        <f>IF(C64="", "", '[1]2. Prepare'!$E$6)</f>
        <v>45033</v>
      </c>
      <c r="E64" s="91"/>
      <c r="F64" s="91"/>
      <c r="G64" s="91"/>
      <c r="H64" s="91"/>
      <c r="I64" s="98" t="str">
        <f>IF('[1]Lists and Calcs (Hidden)'!AJ88="","",
                    IF(INDEX('[1]5. Assess Risks'!$D$6:$D$704,MATCH('[1]Lists and Calcs (Hidden)'!AJ88,'[1]Lists and Calcs (Hidden)'!$AB$34:$AB$732,0))="","",
                                    INDEX('[1]5. Assess Risks'!$D$6:$D$704,MATCH('[1]Lists and Calcs (Hidden)'!AJ88,'[1]Lists and Calcs (Hidden)'!$AB$34:$AB$732,0))
))</f>
        <v>WAF, Email Filtering, Vulnerability Management Program, Application Safelisting, Security Awareness Training Program, Phishing Simulations, Firewall, Endpoint Detection and Response, Intrusion Detection and Protection, Data Loss Prevention.</v>
      </c>
      <c r="J64" s="91"/>
      <c r="K64" s="91"/>
      <c r="L64" s="91"/>
      <c r="M64" s="91"/>
      <c r="N64" s="91"/>
      <c r="O64" s="91"/>
      <c r="P64" s="99" t="str">
        <f>IF('[1]Lists and Calcs (Hidden)'!AJ88="","",
                    IF(INDEX('[1]5. Assess Risks'!$G$6:$G$704,MATCH('[1]Lists and Calcs (Hidden)'!AJ88,'[1]Lists and Calcs (Hidden)'!$AB$34:$AB$732,0))="","",
                                    INDEX('[1]5. Assess Risks'!$G$6:$G$704,MATCH('[1]Lists and Calcs (Hidden)'!AJ88,'[1]Lists and Calcs (Hidden)'!$AB$34:$AB$732,0))
))</f>
        <v>Likely</v>
      </c>
      <c r="Q64" s="99" t="str">
        <f>IF('[1]Lists and Calcs (Hidden)'!AJ88="","",
                    IF(INDEX('[1]5. Assess Risks'!$H$6:$H$704,MATCH('[1]Lists and Calcs (Hidden)'!AJ88,'[1]Lists and Calcs (Hidden)'!$AB$34:$AB$732,0))="","",
                                    INDEX('[1]5. Assess Risks'!$H$6:$H$704,MATCH('[1]Lists and Calcs (Hidden)'!AJ88,'[1]Lists and Calcs (Hidden)'!$AB$34:$AB$732,0))
))</f>
        <v>Major</v>
      </c>
      <c r="R64" s="100" t="str">
        <f>IFERROR(IF('[1]2. Prepare'!$O$50="Quantitative",INDEX('[1]Lists and Calcs (Hidden)'!$M$12:$Q$16,MATCH('[1]6. Risk Register Integration'!P64,'[1]Lists and Calcs (Hidden)'!$K$12:$K$16,0),MATCH('[1]6. Risk Register Integration'!Q64,'[1]Lists and Calcs (Hidden)'!$M$10:$Q$10,0)),INDEX('[1]Lists and Calcs (Hidden)'!$Z$12:$AD$16,MATCH('[1]6. Risk Register Integration'!P64,'[1]Lists and Calcs (Hidden)'!$X$12:$X$16,0),MATCH('[1]6. Risk Register Integration'!Q64,'[1]Lists and Calcs (Hidden)'!$Z$10:$AD$10,0))),"")</f>
        <v>High</v>
      </c>
      <c r="S64" s="101" t="str">
        <f>IF('[1]Lists and Calcs (Hidden)'!AJ88="","",
                    IF(INDEX('[1]5. Assess Risks'!$J$6:$J$704,MATCH('[1]Lists and Calcs (Hidden)'!AJ88,'[1]Lists and Calcs (Hidden)'!$AB$34:$AB$732,0))="","",
                                    INDEX('[1]5. Assess Risks'!$J$6:$J$704,MATCH('[1]Lists and Calcs (Hidden)'!AJ88,'[1]Lists and Calcs (Hidden)'!$AB$34:$AB$732,0))
))</f>
        <v>Mitigate the Risk</v>
      </c>
      <c r="T64" s="102"/>
      <c r="U64" s="105"/>
      <c r="V64" s="106"/>
      <c r="W64" s="105"/>
      <c r="X64" s="105"/>
      <c r="Y64" s="98" t="str">
        <f>IF('[1]Lists and Calcs (Hidden)'!AJ88="","",
                    IF(INDEX('[1]5. Assess Risks'!$L$6:$L$704,MATCH('[1]Lists and Calcs (Hidden)'!AJ88,'[1]Lists and Calcs (Hidden)'!$AB$34:$AB$732,0))="","",
                                    INDEX('[1]5. Assess Risks'!$L$6:$L$704,MATCH('[1]Lists and Calcs (Hidden)'!AJ88,'[1]Lists and Calcs (Hidden)'!$AB$34:$AB$732,0))
))</f>
        <v>Source of residual risk: High-value targets, ease of basic techniques, valuable intelligence, skilled attackers.
Potential additional controls: Minimize exposure, threat intelligence, network traffic analysis, honeypots.</v>
      </c>
      <c r="Z64" s="95"/>
      <c r="AA64" s="96"/>
      <c r="AB64" s="85"/>
      <c r="AC64" s="86"/>
      <c r="AD64" s="87" t="str">
        <f>IFERROR(IF('[1]2. Prepare'!$O$50="Quantitative",INDEX('[1]Lists and Calcs (Hidden)'!$M$12:$Q$16,MATCH('[1]6. Risk Register Integration'!AB64,'[1]Lists and Calcs (Hidden)'!$K$12:$K$16,0),MATCH('[1]6. Risk Register Integration'!AC64,'[1]Lists and Calcs (Hidden)'!$M$10:$Q$10,0)),INDEX('[1]Lists and Calcs (Hidden)'!$Z$12:$AD$16,MATCH('[1]6. Risk Register Integration'!AB64,'[1]Lists and Calcs (Hidden)'!$X$12:$X$16,0),MATCH('[1]6. Risk Register Integration'!AC64,'[1]Lists and Calcs (Hidden)'!$Z$10:$AD$10,0))),"")</f>
        <v/>
      </c>
      <c r="AE64" s="54"/>
      <c r="AF64" s="4"/>
      <c r="AG64" s="4"/>
    </row>
    <row r="65" spans="2:33" ht="330" customHeight="1" x14ac:dyDescent="0.2">
      <c r="B65" s="107"/>
      <c r="C65" s="89" t="str">
        <f>IF('[1]Lists and Calcs (Hidden)'!AJ89="","",
                    IF(INDEX('[1]5. Assess Risks'!$B$6:$B$704,MATCH('[1]Lists and Calcs (Hidden)'!AJ89,'[1]Lists and Calcs (Hidden)'!$AB$34:$AB$732,0))="","",
                                    INDEX('[1]5. Assess Risks'!$B$6:$B$704,MATCH('[1]Lists and Calcs (Hidden)'!AJ89,'[1]Lists and Calcs (Hidden)'!$AB$34:$AB$732,0))
))</f>
        <v>TRA1.69 - ERP System - An attacker discovers a vulnerability in a remote management tool. This vulnerability allows the attacker to steal credentials stored within the tool itself. These credentials could be for administrator accounts or service accounts used by the management tool to perform tasks on remote systems. By exploiting this vulnerability in the management tools, the attacker gains access to privileged credentials that can be used to move laterally within the network or escalate privileges on other systems.</v>
      </c>
      <c r="D65" s="90">
        <f>IF(C65="", "", '[1]2. Prepare'!$E$6)</f>
        <v>45033</v>
      </c>
      <c r="E65" s="91"/>
      <c r="F65" s="91"/>
      <c r="G65" s="91"/>
      <c r="H65" s="91"/>
      <c r="I65" s="89" t="str">
        <f>IF('[1]Lists and Calcs (Hidden)'!AJ89="","",
                    IF(INDEX('[1]5. Assess Risks'!$D$6:$D$704,MATCH('[1]Lists and Calcs (Hidden)'!AJ89,'[1]Lists and Calcs (Hidden)'!$AB$34:$AB$732,0))="","",
                                    INDEX('[1]5. Assess Risks'!$D$6:$D$704,MATCH('[1]Lists and Calcs (Hidden)'!AJ89,'[1]Lists and Calcs (Hidden)'!$AB$34:$AB$732,0))
))</f>
        <v>WAF, Email Filtering, Vulnerability Management Program, Application Safelisting, Security Awareness Training Program, Phishing Simulations, Firewall, Endpoint Detection and Response, Intrusion Detection and Protection, Data Loss Prevention.</v>
      </c>
      <c r="J65" s="91"/>
      <c r="K65" s="91"/>
      <c r="L65" s="91"/>
      <c r="M65" s="91"/>
      <c r="N65" s="91"/>
      <c r="O65" s="91"/>
      <c r="P65" s="92" t="str">
        <f>IF('[1]Lists and Calcs (Hidden)'!AJ89="","",
                    IF(INDEX('[1]5. Assess Risks'!$G$6:$G$704,MATCH('[1]Lists and Calcs (Hidden)'!AJ89,'[1]Lists and Calcs (Hidden)'!$AB$34:$AB$732,0))="","",
                                    INDEX('[1]5. Assess Risks'!$G$6:$G$704,MATCH('[1]Lists and Calcs (Hidden)'!AJ89,'[1]Lists and Calcs (Hidden)'!$AB$34:$AB$732,0))
))</f>
        <v>Possible</v>
      </c>
      <c r="Q65" s="92" t="str">
        <f>IF('[1]Lists and Calcs (Hidden)'!AJ89="","",
                    IF(INDEX('[1]5. Assess Risks'!$H$6:$H$704,MATCH('[1]Lists and Calcs (Hidden)'!AJ89,'[1]Lists and Calcs (Hidden)'!$AB$34:$AB$732,0))="","",
                                    INDEX('[1]5. Assess Risks'!$H$6:$H$704,MATCH('[1]Lists and Calcs (Hidden)'!AJ89,'[1]Lists and Calcs (Hidden)'!$AB$34:$AB$732,0))
))</f>
        <v>Major</v>
      </c>
      <c r="R65" s="93" t="str">
        <f>IFERROR(IF('[1]2. Prepare'!$O$50="Quantitative",INDEX('[1]Lists and Calcs (Hidden)'!$M$12:$Q$16,MATCH('[1]6. Risk Register Integration'!P65,'[1]Lists and Calcs (Hidden)'!$K$12:$K$16,0),MATCH('[1]6. Risk Register Integration'!Q65,'[1]Lists and Calcs (Hidden)'!$M$10:$Q$10,0)),INDEX('[1]Lists and Calcs (Hidden)'!$Z$12:$AD$16,MATCH('[1]6. Risk Register Integration'!P65,'[1]Lists and Calcs (Hidden)'!$X$12:$X$16,0),MATCH('[1]6. Risk Register Integration'!Q65,'[1]Lists and Calcs (Hidden)'!$Z$10:$AD$10,0))),"")</f>
        <v>Medium</v>
      </c>
      <c r="S65" s="94" t="str">
        <f>IF('[1]Lists and Calcs (Hidden)'!AJ89="","",
                    IF(INDEX('[1]5. Assess Risks'!$J$6:$J$704,MATCH('[1]Lists and Calcs (Hidden)'!AJ89,'[1]Lists and Calcs (Hidden)'!$AB$34:$AB$732,0))="","",
                                    INDEX('[1]5. Assess Risks'!$J$6:$J$704,MATCH('[1]Lists and Calcs (Hidden)'!AJ89,'[1]Lists and Calcs (Hidden)'!$AB$34:$AB$732,0))
))</f>
        <v>Formally Accept the Risk</v>
      </c>
      <c r="T65" s="102"/>
      <c r="U65" s="105"/>
      <c r="V65" s="106"/>
      <c r="W65" s="105"/>
      <c r="X65" s="105"/>
      <c r="Y65" s="89" t="str">
        <f>IF('[1]Lists and Calcs (Hidden)'!AJ89="","",
                    IF(INDEX('[1]5. Assess Risks'!$L$6:$L$704,MATCH('[1]Lists and Calcs (Hidden)'!AJ89,'[1]Lists and Calcs (Hidden)'!$AB$34:$AB$732,0))="","",
                                    INDEX('[1]5. Assess Risks'!$L$6:$L$704,MATCH('[1]Lists and Calcs (Hidden)'!AJ89,'[1]Lists and Calcs (Hidden)'!$AB$34:$AB$732,0))
))</f>
        <v>Source of residual risk: Targeted attack.
Potential additional controls: Threat intelligence, focus on compromise to develop detection approaches.</v>
      </c>
      <c r="Z65" s="95"/>
      <c r="AA65" s="96"/>
      <c r="AB65" s="85"/>
      <c r="AC65" s="86"/>
      <c r="AD65" s="87" t="str">
        <f>IFERROR(IF('[1]2. Prepare'!$O$50="Quantitative",INDEX('[1]Lists and Calcs (Hidden)'!$M$12:$Q$16,MATCH('[1]6. Risk Register Integration'!AB65,'[1]Lists and Calcs (Hidden)'!$K$12:$K$16,0),MATCH('[1]6. Risk Register Integration'!AC65,'[1]Lists and Calcs (Hidden)'!$M$10:$Q$10,0)),INDEX('[1]Lists and Calcs (Hidden)'!$Z$12:$AD$16,MATCH('[1]6. Risk Register Integration'!AB65,'[1]Lists and Calcs (Hidden)'!$X$12:$X$16,0),MATCH('[1]6. Risk Register Integration'!AC65,'[1]Lists and Calcs (Hidden)'!$Z$10:$AD$10,0))),"")</f>
        <v/>
      </c>
      <c r="AE65" s="54"/>
      <c r="AF65" s="4"/>
      <c r="AG65" s="4"/>
    </row>
    <row r="66" spans="2:33" ht="330" customHeight="1" x14ac:dyDescent="0.2">
      <c r="B66" s="108"/>
      <c r="C66" s="98" t="str">
        <f>IF('[1]Lists and Calcs (Hidden)'!AJ90="","",
                    IF(INDEX('[1]5. Assess Risks'!$B$6:$B$704,MATCH('[1]Lists and Calcs (Hidden)'!AJ90,'[1]Lists and Calcs (Hidden)'!$AB$34:$AB$732,0))="","",
                                    INDEX('[1]5. Assess Risks'!$B$6:$B$704,MATCH('[1]Lists and Calcs (Hidden)'!AJ90,'[1]Lists and Calcs (Hidden)'!$AB$34:$AB$732,0))
))</f>
        <v>TRA1.70 - ERP System - Management tools are designed to manage and monitor systems, providing discovery capabilities to learn about the system's resources and configurations. An attacker would gather some information through the tool's functionalities but not beyond what the tool is designed to reveal.
An attacker might exploit a vulnerability within a management tool that grants them access to functionalities beyond intended use. The attacker could then leverage these to scan the network for additional systems, identify vulnerabilities in other systems, or enumerate user accounts.</v>
      </c>
      <c r="D66" s="90">
        <f>IF(C66="", "", '[1]2. Prepare'!$E$6)</f>
        <v>45033</v>
      </c>
      <c r="E66" s="91"/>
      <c r="F66" s="91"/>
      <c r="G66" s="91"/>
      <c r="H66" s="91"/>
      <c r="I66" s="98" t="str">
        <f>IF('[1]Lists and Calcs (Hidden)'!AJ90="","",
                    IF(INDEX('[1]5. Assess Risks'!$D$6:$D$704,MATCH('[1]Lists and Calcs (Hidden)'!AJ90,'[1]Lists and Calcs (Hidden)'!$AB$34:$AB$732,0))="","",
                                    INDEX('[1]5. Assess Risks'!$D$6:$D$704,MATCH('[1]Lists and Calcs (Hidden)'!AJ90,'[1]Lists and Calcs (Hidden)'!$AB$34:$AB$732,0))
))</f>
        <v>WAF, Email Filtering, Vulnerability Management Program, Application Safelisting, Security Awareness Training Program, Phishing Simulations, Firewall, Endpoint Detection and Response, Intrusion Detection and Protection, Data Loss Prevention.</v>
      </c>
      <c r="J66" s="91"/>
      <c r="K66" s="91"/>
      <c r="L66" s="91"/>
      <c r="M66" s="91"/>
      <c r="N66" s="91"/>
      <c r="O66" s="91"/>
      <c r="P66" s="99" t="str">
        <f>IF('[1]Lists and Calcs (Hidden)'!AJ90="","",
                    IF(INDEX('[1]5. Assess Risks'!$G$6:$G$704,MATCH('[1]Lists and Calcs (Hidden)'!AJ90,'[1]Lists and Calcs (Hidden)'!$AB$34:$AB$732,0))="","",
                                    INDEX('[1]5. Assess Risks'!$G$6:$G$704,MATCH('[1]Lists and Calcs (Hidden)'!AJ90,'[1]Lists and Calcs (Hidden)'!$AB$34:$AB$732,0))
))</f>
        <v>Likely</v>
      </c>
      <c r="Q66" s="99" t="str">
        <f>IF('[1]Lists and Calcs (Hidden)'!AJ90="","",
                    IF(INDEX('[1]5. Assess Risks'!$H$6:$H$704,MATCH('[1]Lists and Calcs (Hidden)'!AJ90,'[1]Lists and Calcs (Hidden)'!$AB$34:$AB$732,0))="","",
                                    INDEX('[1]5. Assess Risks'!$H$6:$H$704,MATCH('[1]Lists and Calcs (Hidden)'!AJ90,'[1]Lists and Calcs (Hidden)'!$AB$34:$AB$732,0))
))</f>
        <v>Major</v>
      </c>
      <c r="R66" s="100" t="str">
        <f>IFERROR(IF('[1]2. Prepare'!$O$50="Quantitative",INDEX('[1]Lists and Calcs (Hidden)'!$M$12:$Q$16,MATCH('[1]6. Risk Register Integration'!P66,'[1]Lists and Calcs (Hidden)'!$K$12:$K$16,0),MATCH('[1]6. Risk Register Integration'!Q66,'[1]Lists and Calcs (Hidden)'!$M$10:$Q$10,0)),INDEX('[1]Lists and Calcs (Hidden)'!$Z$12:$AD$16,MATCH('[1]6. Risk Register Integration'!P66,'[1]Lists and Calcs (Hidden)'!$X$12:$X$16,0),MATCH('[1]6. Risk Register Integration'!Q66,'[1]Lists and Calcs (Hidden)'!$Z$10:$AD$10,0))),"")</f>
        <v>High</v>
      </c>
      <c r="S66" s="101" t="str">
        <f>IF('[1]Lists and Calcs (Hidden)'!AJ90="","",
                    IF(INDEX('[1]5. Assess Risks'!$J$6:$J$704,MATCH('[1]Lists and Calcs (Hidden)'!AJ90,'[1]Lists and Calcs (Hidden)'!$AB$34:$AB$732,0))="","",
                                    INDEX('[1]5. Assess Risks'!$J$6:$J$704,MATCH('[1]Lists and Calcs (Hidden)'!AJ90,'[1]Lists and Calcs (Hidden)'!$AB$34:$AB$732,0))
))</f>
        <v>Mitigate the Risk</v>
      </c>
      <c r="T66" s="102"/>
      <c r="U66" s="105"/>
      <c r="V66" s="106"/>
      <c r="W66" s="105"/>
      <c r="X66" s="105"/>
      <c r="Y66" s="98" t="str">
        <f>IF('[1]Lists and Calcs (Hidden)'!AJ90="","",
                    IF(INDEX('[1]5. Assess Risks'!$L$6:$L$704,MATCH('[1]Lists and Calcs (Hidden)'!AJ90,'[1]Lists and Calcs (Hidden)'!$AB$34:$AB$732,0))="","",
                                    INDEX('[1]5. Assess Risks'!$L$6:$L$704,MATCH('[1]Lists and Calcs (Hidden)'!AJ90,'[1]Lists and Calcs (Hidden)'!$AB$34:$AB$732,0))
))</f>
        <v>Source of residual risk: High-value target, multiple attack paths, living off the land.
Potential additional controls: Strict access controls, least privilege, activity monitoring, behavioral detection.</v>
      </c>
      <c r="Z66" s="95"/>
      <c r="AA66" s="96"/>
      <c r="AB66" s="85"/>
      <c r="AC66" s="86"/>
      <c r="AD66" s="87" t="str">
        <f>IFERROR(IF('[1]2. Prepare'!$O$50="Quantitative",INDEX('[1]Lists and Calcs (Hidden)'!$M$12:$Q$16,MATCH('[1]6. Risk Register Integration'!AB66,'[1]Lists and Calcs (Hidden)'!$K$12:$K$16,0),MATCH('[1]6. Risk Register Integration'!AC66,'[1]Lists and Calcs (Hidden)'!$M$10:$Q$10,0)),INDEX('[1]Lists and Calcs (Hidden)'!$Z$12:$AD$16,MATCH('[1]6. Risk Register Integration'!AB66,'[1]Lists and Calcs (Hidden)'!$X$12:$X$16,0),MATCH('[1]6. Risk Register Integration'!AC66,'[1]Lists and Calcs (Hidden)'!$Z$10:$AD$10,0))),"")</f>
        <v/>
      </c>
      <c r="AE66" s="54"/>
      <c r="AF66" s="4"/>
      <c r="AG66" s="4"/>
    </row>
    <row r="67" spans="2:33" ht="330" customHeight="1" x14ac:dyDescent="0.2">
      <c r="B67" s="107"/>
      <c r="C67" s="89" t="str">
        <f>IF('[1]Lists and Calcs (Hidden)'!AJ91="","",
                    IF(INDEX('[1]5. Assess Risks'!$B$6:$B$704,MATCH('[1]Lists and Calcs (Hidden)'!AJ91,'[1]Lists and Calcs (Hidden)'!$AB$34:$AB$732,0))="","",
                                    INDEX('[1]5. Assess Risks'!$B$6:$B$704,MATCH('[1]Lists and Calcs (Hidden)'!AJ91,'[1]Lists and Calcs (Hidden)'!$AB$34:$AB$732,0))
))</f>
        <v>TRA1.71 - ERP System - An attacker compromises a system administrator's workstation and gains access to legitimate remote management tools. These tools allow privileged access and control over other systems on the network. The attacker leverages these management tools to perform lateral movement by connecting to other systems, escalating privileges (if necessary), and potentially installing additional tools or malware to establish footholds on those systems.</v>
      </c>
      <c r="D67" s="90">
        <f>IF(C67="", "", '[1]2. Prepare'!$E$6)</f>
        <v>45033</v>
      </c>
      <c r="E67" s="91"/>
      <c r="F67" s="91"/>
      <c r="G67" s="91"/>
      <c r="H67" s="91"/>
      <c r="I67" s="89" t="str">
        <f>IF('[1]Lists and Calcs (Hidden)'!AJ91="","",
                    IF(INDEX('[1]5. Assess Risks'!$D$6:$D$704,MATCH('[1]Lists and Calcs (Hidden)'!AJ91,'[1]Lists and Calcs (Hidden)'!$AB$34:$AB$732,0))="","",
                                    INDEX('[1]5. Assess Risks'!$D$6:$D$704,MATCH('[1]Lists and Calcs (Hidden)'!AJ91,'[1]Lists and Calcs (Hidden)'!$AB$34:$AB$732,0))
))</f>
        <v>WAF, Email Filtering, Vulnerability Management Program, Application Safelisting, Security Awareness Training Program, Phishing Simulations, Firewall, Endpoint Detection and Response, Intrusion Detection and Protection, Data Loss Prevention.</v>
      </c>
      <c r="J67" s="91"/>
      <c r="K67" s="91"/>
      <c r="L67" s="91"/>
      <c r="M67" s="91"/>
      <c r="N67" s="91"/>
      <c r="O67" s="91"/>
      <c r="P67" s="92" t="str">
        <f>IF('[1]Lists and Calcs (Hidden)'!AJ91="","",
                    IF(INDEX('[1]5. Assess Risks'!$G$6:$G$704,MATCH('[1]Lists and Calcs (Hidden)'!AJ91,'[1]Lists and Calcs (Hidden)'!$AB$34:$AB$732,0))="","",
                                    INDEX('[1]5. Assess Risks'!$G$6:$G$704,MATCH('[1]Lists and Calcs (Hidden)'!AJ91,'[1]Lists and Calcs (Hidden)'!$AB$34:$AB$732,0))
))</f>
        <v>Likely</v>
      </c>
      <c r="Q67" s="92" t="str">
        <f>IF('[1]Lists and Calcs (Hidden)'!AJ91="","",
                    IF(INDEX('[1]5. Assess Risks'!$H$6:$H$704,MATCH('[1]Lists and Calcs (Hidden)'!AJ91,'[1]Lists and Calcs (Hidden)'!$AB$34:$AB$732,0))="","",
                                    INDEX('[1]5. Assess Risks'!$H$6:$H$704,MATCH('[1]Lists and Calcs (Hidden)'!AJ91,'[1]Lists and Calcs (Hidden)'!$AB$34:$AB$732,0))
))</f>
        <v>Minor</v>
      </c>
      <c r="R67" s="93" t="str">
        <f>IFERROR(IF('[1]2. Prepare'!$O$50="Quantitative",INDEX('[1]Lists and Calcs (Hidden)'!$M$12:$Q$16,MATCH('[1]6. Risk Register Integration'!P67,'[1]Lists and Calcs (Hidden)'!$K$12:$K$16,0),MATCH('[1]6. Risk Register Integration'!Q67,'[1]Lists and Calcs (Hidden)'!$M$10:$Q$10,0)),INDEX('[1]Lists and Calcs (Hidden)'!$Z$12:$AD$16,MATCH('[1]6. Risk Register Integration'!P67,'[1]Lists and Calcs (Hidden)'!$X$12:$X$16,0),MATCH('[1]6. Risk Register Integration'!Q67,'[1]Lists and Calcs (Hidden)'!$Z$10:$AD$10,0))),"")</f>
        <v>Medium</v>
      </c>
      <c r="S67" s="94" t="str">
        <f>IF('[1]Lists and Calcs (Hidden)'!AJ91="","",
                    IF(INDEX('[1]5. Assess Risks'!$J$6:$J$704,MATCH('[1]Lists and Calcs (Hidden)'!AJ91,'[1]Lists and Calcs (Hidden)'!$AB$34:$AB$732,0))="","",
                                    INDEX('[1]5. Assess Risks'!$J$6:$J$704,MATCH('[1]Lists and Calcs (Hidden)'!AJ91,'[1]Lists and Calcs (Hidden)'!$AB$34:$AB$732,0))
))</f>
        <v>No New Actions Needed</v>
      </c>
      <c r="T67" s="102"/>
      <c r="U67" s="105"/>
      <c r="V67" s="106"/>
      <c r="W67" s="105"/>
      <c r="X67" s="105"/>
      <c r="Y67" s="89" t="str">
        <f>IF('[1]Lists and Calcs (Hidden)'!AJ91="","",
                    IF(INDEX('[1]5. Assess Risks'!$L$6:$L$704,MATCH('[1]Lists and Calcs (Hidden)'!AJ91,'[1]Lists and Calcs (Hidden)'!$AB$34:$AB$732,0))="","",
                                    INDEX('[1]5. Assess Risks'!$L$6:$L$704,MATCH('[1]Lists and Calcs (Hidden)'!AJ91,'[1]Lists and Calcs (Hidden)'!$AB$34:$AB$732,0))
))</f>
        <v>Source of residual risk: Ease of techniques, evasiveness, attacker goals.
Potential additional controls: File integrity monitoring, tool hardening, security baseline.</v>
      </c>
      <c r="Z67" s="95"/>
      <c r="AA67" s="96"/>
      <c r="AB67" s="85"/>
      <c r="AC67" s="86"/>
      <c r="AD67" s="87" t="str">
        <f>IFERROR(IF('[1]2. Prepare'!$O$50="Quantitative",INDEX('[1]Lists and Calcs (Hidden)'!$M$12:$Q$16,MATCH('[1]6. Risk Register Integration'!AB67,'[1]Lists and Calcs (Hidden)'!$K$12:$K$16,0),MATCH('[1]6. Risk Register Integration'!AC67,'[1]Lists and Calcs (Hidden)'!$M$10:$Q$10,0)),INDEX('[1]Lists and Calcs (Hidden)'!$Z$12:$AD$16,MATCH('[1]6. Risk Register Integration'!AB67,'[1]Lists and Calcs (Hidden)'!$X$12:$X$16,0),MATCH('[1]6. Risk Register Integration'!AC67,'[1]Lists and Calcs (Hidden)'!$Z$10:$AD$10,0))),"")</f>
        <v/>
      </c>
      <c r="AE67" s="54"/>
      <c r="AF67" s="4"/>
      <c r="AG67" s="4"/>
    </row>
    <row r="68" spans="2:33" ht="330" customHeight="1" x14ac:dyDescent="0.2">
      <c r="B68" s="107"/>
      <c r="C68" s="98" t="str">
        <f>IF('[1]Lists and Calcs (Hidden)'!AJ92="","",
                    IF(INDEX('[1]5. Assess Risks'!$B$6:$B$704,MATCH('[1]Lists and Calcs (Hidden)'!AJ92,'[1]Lists and Calcs (Hidden)'!$AB$34:$AB$732,0))="","",
                                    INDEX('[1]5. Assess Risks'!$B$6:$B$704,MATCH('[1]Lists and Calcs (Hidden)'!AJ92,'[1]Lists and Calcs (Hidden)'!$AB$34:$AB$732,0))
))</f>
        <v>TRA1.72 - ERP System - An attacker gains access to a compromised system with a vulnerability in a management tool that offers extensive logging capabilities. This tool can be configured to record keystrokes, system commands, or even application activity. The attacker modifies the tool's configuration to collect sensitive information like usernames, passwords, or other data being processed on the system. By exploiting this functionality within the management tool, the attacker gathers sensitive information that can be used for further attacks or sold on the dark web.</v>
      </c>
      <c r="D68" s="90">
        <f>IF(C68="", "", '[1]2. Prepare'!$E$6)</f>
        <v>45033</v>
      </c>
      <c r="E68" s="91"/>
      <c r="F68" s="91"/>
      <c r="G68" s="91"/>
      <c r="H68" s="91"/>
      <c r="I68" s="98" t="str">
        <f>IF('[1]Lists and Calcs (Hidden)'!AJ92="","",
                    IF(INDEX('[1]5. Assess Risks'!$D$6:$D$704,MATCH('[1]Lists and Calcs (Hidden)'!AJ92,'[1]Lists and Calcs (Hidden)'!$AB$34:$AB$732,0))="","",
                                    INDEX('[1]5. Assess Risks'!$D$6:$D$704,MATCH('[1]Lists and Calcs (Hidden)'!AJ92,'[1]Lists and Calcs (Hidden)'!$AB$34:$AB$732,0))
))</f>
        <v>WAF, Email Filtering, Vulnerability Management Program, Application Safelisting, Security Awareness Training Program, Phishing Simulations, Firewall, Endpoint Detection and Response, Intrusion Detection and Protection, Data Loss Prevention.</v>
      </c>
      <c r="J68" s="91"/>
      <c r="K68" s="91"/>
      <c r="L68" s="91"/>
      <c r="M68" s="91"/>
      <c r="N68" s="91"/>
      <c r="O68" s="91"/>
      <c r="P68" s="99" t="str">
        <f>IF('[1]Lists and Calcs (Hidden)'!AJ92="","",
                    IF(INDEX('[1]5. Assess Risks'!$G$6:$G$704,MATCH('[1]Lists and Calcs (Hidden)'!AJ92,'[1]Lists and Calcs (Hidden)'!$AB$34:$AB$732,0))="","",
                                    INDEX('[1]5. Assess Risks'!$G$6:$G$704,MATCH('[1]Lists and Calcs (Hidden)'!AJ92,'[1]Lists and Calcs (Hidden)'!$AB$34:$AB$732,0))
))</f>
        <v>Possible</v>
      </c>
      <c r="Q68" s="99" t="str">
        <f>IF('[1]Lists and Calcs (Hidden)'!AJ92="","",
                    IF(INDEX('[1]5. Assess Risks'!$H$6:$H$704,MATCH('[1]Lists and Calcs (Hidden)'!AJ92,'[1]Lists and Calcs (Hidden)'!$AB$34:$AB$732,0))="","",
                                    INDEX('[1]5. Assess Risks'!$H$6:$H$704,MATCH('[1]Lists and Calcs (Hidden)'!AJ92,'[1]Lists and Calcs (Hidden)'!$AB$34:$AB$732,0))
))</f>
        <v>Moderate</v>
      </c>
      <c r="R68" s="100" t="str">
        <f>IFERROR(IF('[1]2. Prepare'!$O$50="Quantitative",INDEX('[1]Lists and Calcs (Hidden)'!$M$12:$Q$16,MATCH('[1]6. Risk Register Integration'!P68,'[1]Lists and Calcs (Hidden)'!$K$12:$K$16,0),MATCH('[1]6. Risk Register Integration'!Q68,'[1]Lists and Calcs (Hidden)'!$M$10:$Q$10,0)),INDEX('[1]Lists and Calcs (Hidden)'!$Z$12:$AD$16,MATCH('[1]6. Risk Register Integration'!P68,'[1]Lists and Calcs (Hidden)'!$X$12:$X$16,0),MATCH('[1]6. Risk Register Integration'!Q68,'[1]Lists and Calcs (Hidden)'!$Z$10:$AD$10,0))),"")</f>
        <v>Medium</v>
      </c>
      <c r="S68" s="101" t="str">
        <f>IF('[1]Lists and Calcs (Hidden)'!AJ92="","",
                    IF(INDEX('[1]5. Assess Risks'!$J$6:$J$704,MATCH('[1]Lists and Calcs (Hidden)'!AJ92,'[1]Lists and Calcs (Hidden)'!$AB$34:$AB$732,0))="","",
                                    INDEX('[1]5. Assess Risks'!$J$6:$J$704,MATCH('[1]Lists and Calcs (Hidden)'!AJ92,'[1]Lists and Calcs (Hidden)'!$AB$34:$AB$732,0))
))</f>
        <v>No New Actions Needed</v>
      </c>
      <c r="T68" s="102"/>
      <c r="U68" s="105"/>
      <c r="V68" s="106"/>
      <c r="W68" s="105"/>
      <c r="X68" s="105"/>
      <c r="Y68" s="98" t="str">
        <f>IF('[1]Lists and Calcs (Hidden)'!AJ92="","",
                    IF(INDEX('[1]5. Assess Risks'!$L$6:$L$704,MATCH('[1]Lists and Calcs (Hidden)'!AJ92,'[1]Lists and Calcs (Hidden)'!$AB$34:$AB$732,0))="","",
                                    INDEX('[1]5. Assess Risks'!$L$6:$L$704,MATCH('[1]Lists and Calcs (Hidden)'!AJ92,'[1]Lists and Calcs (Hidden)'!$AB$34:$AB$732,0))
))</f>
        <v>Source of residual risk: Potential for gain, misconfigurations.
Potential additional controls: Least privilege, application hardening.</v>
      </c>
      <c r="Z68" s="95"/>
      <c r="AA68" s="96"/>
      <c r="AB68" s="85"/>
      <c r="AC68" s="86"/>
      <c r="AD68" s="87" t="str">
        <f>IFERROR(IF('[1]2. Prepare'!$O$50="Quantitative",INDEX('[1]Lists and Calcs (Hidden)'!$M$12:$Q$16,MATCH('[1]6. Risk Register Integration'!AB68,'[1]Lists and Calcs (Hidden)'!$K$12:$K$16,0),MATCH('[1]6. Risk Register Integration'!AC68,'[1]Lists and Calcs (Hidden)'!$M$10:$Q$10,0)),INDEX('[1]Lists and Calcs (Hidden)'!$Z$12:$AD$16,MATCH('[1]6. Risk Register Integration'!AB68,'[1]Lists and Calcs (Hidden)'!$X$12:$X$16,0),MATCH('[1]6. Risk Register Integration'!AC68,'[1]Lists and Calcs (Hidden)'!$Z$10:$AD$10,0))),"")</f>
        <v/>
      </c>
      <c r="AE68" s="54"/>
      <c r="AF68" s="4"/>
      <c r="AG68" s="4"/>
    </row>
    <row r="69" spans="2:33" ht="330" customHeight="1" x14ac:dyDescent="0.2">
      <c r="B69" s="108"/>
      <c r="C69" s="89" t="str">
        <f>IF('[1]Lists and Calcs (Hidden)'!AJ93="","",
                    IF(INDEX('[1]5. Assess Risks'!$B$6:$B$704,MATCH('[1]Lists and Calcs (Hidden)'!AJ93,'[1]Lists and Calcs (Hidden)'!$AB$34:$AB$732,0))="","",
                                    INDEX('[1]5. Assess Risks'!$B$6:$B$704,MATCH('[1]Lists and Calcs (Hidden)'!AJ93,'[1]Lists and Calcs (Hidden)'!$AB$34:$AB$732,0))
))</f>
        <v>TRA1.73 - ERP System - An attacker gains access to a system through a vulnerability in a management tool that offers functionalities to modify system configurations or manipulate files. They create a script that gathers sensitive data, such as user credentials or financial information, from the system. This script is then uploaded and executed through the compromised management tool. The attacker might then leverage another tool or exploit a separate vulnerability to exfiltrate the stolen data from the system.</v>
      </c>
      <c r="D69" s="90">
        <f>IF(C69="", "", '[1]2. Prepare'!$E$6)</f>
        <v>45033</v>
      </c>
      <c r="E69" s="91"/>
      <c r="F69" s="91"/>
      <c r="G69" s="91"/>
      <c r="H69" s="91"/>
      <c r="I69" s="89" t="str">
        <f>IF('[1]Lists and Calcs (Hidden)'!AJ93="","",
                    IF(INDEX('[1]5. Assess Risks'!$D$6:$D$704,MATCH('[1]Lists and Calcs (Hidden)'!AJ93,'[1]Lists and Calcs (Hidden)'!$AB$34:$AB$732,0))="","",
                                    INDEX('[1]5. Assess Risks'!$D$6:$D$704,MATCH('[1]Lists and Calcs (Hidden)'!AJ93,'[1]Lists and Calcs (Hidden)'!$AB$34:$AB$732,0))
))</f>
        <v>WAF, Email Filtering, Vulnerability Management Program, Application Safelisting, Security Awareness Training Program, Phishing Simulations, Firewall, Endpoint Detection and Response, Intrusion Detection and Protection, Data Loss Prevention.</v>
      </c>
      <c r="J69" s="91"/>
      <c r="K69" s="91"/>
      <c r="L69" s="91"/>
      <c r="M69" s="91"/>
      <c r="N69" s="91"/>
      <c r="O69" s="91"/>
      <c r="P69" s="92" t="str">
        <f>IF('[1]Lists and Calcs (Hidden)'!AJ93="","",
                    IF(INDEX('[1]5. Assess Risks'!$G$6:$G$704,MATCH('[1]Lists and Calcs (Hidden)'!AJ93,'[1]Lists and Calcs (Hidden)'!$AB$34:$AB$732,0))="","",
                                    INDEX('[1]5. Assess Risks'!$G$6:$G$704,MATCH('[1]Lists and Calcs (Hidden)'!AJ93,'[1]Lists and Calcs (Hidden)'!$AB$34:$AB$732,0))
))</f>
        <v>Likely</v>
      </c>
      <c r="Q69" s="92" t="str">
        <f>IF('[1]Lists and Calcs (Hidden)'!AJ93="","",
                    IF(INDEX('[1]5. Assess Risks'!$H$6:$H$704,MATCH('[1]Lists and Calcs (Hidden)'!AJ93,'[1]Lists and Calcs (Hidden)'!$AB$34:$AB$732,0))="","",
                                    INDEX('[1]5. Assess Risks'!$H$6:$H$704,MATCH('[1]Lists and Calcs (Hidden)'!AJ93,'[1]Lists and Calcs (Hidden)'!$AB$34:$AB$732,0))
))</f>
        <v>Minor</v>
      </c>
      <c r="R69" s="93" t="str">
        <f>IFERROR(IF('[1]2. Prepare'!$O$50="Quantitative",INDEX('[1]Lists and Calcs (Hidden)'!$M$12:$Q$16,MATCH('[1]6. Risk Register Integration'!P69,'[1]Lists and Calcs (Hidden)'!$K$12:$K$16,0),MATCH('[1]6. Risk Register Integration'!Q69,'[1]Lists and Calcs (Hidden)'!$M$10:$Q$10,0)),INDEX('[1]Lists and Calcs (Hidden)'!$Z$12:$AD$16,MATCH('[1]6. Risk Register Integration'!P69,'[1]Lists and Calcs (Hidden)'!$X$12:$X$16,0),MATCH('[1]6. Risk Register Integration'!Q69,'[1]Lists and Calcs (Hidden)'!$Z$10:$AD$10,0))),"")</f>
        <v>Medium</v>
      </c>
      <c r="S69" s="94" t="str">
        <f>IF('[1]Lists and Calcs (Hidden)'!AJ93="","",
                    IF(INDEX('[1]5. Assess Risks'!$J$6:$J$704,MATCH('[1]Lists and Calcs (Hidden)'!AJ93,'[1]Lists and Calcs (Hidden)'!$AB$34:$AB$732,0))="","",
                                    INDEX('[1]5. Assess Risks'!$J$6:$J$704,MATCH('[1]Lists and Calcs (Hidden)'!AJ93,'[1]Lists and Calcs (Hidden)'!$AB$34:$AB$732,0))
))</f>
        <v>No New Actions Needed</v>
      </c>
      <c r="T69" s="102"/>
      <c r="U69" s="105"/>
      <c r="V69" s="106"/>
      <c r="W69" s="105"/>
      <c r="X69" s="105"/>
      <c r="Y69" s="89" t="str">
        <f>IF('[1]Lists and Calcs (Hidden)'!AJ93="","",
                    IF(INDEX('[1]5. Assess Risks'!$L$6:$L$704,MATCH('[1]Lists and Calcs (Hidden)'!AJ93,'[1]Lists and Calcs (Hidden)'!$AB$34:$AB$732,0))="","",
                                    INDEX('[1]5. Assess Risks'!$L$6:$L$704,MATCH('[1]Lists and Calcs (Hidden)'!AJ93,'[1]Lists and Calcs (Hidden)'!$AB$34:$AB$732,0))
))</f>
        <v>Source of residual risk: Skilled attackers, tool development, zero-days, living off the land.
Potential additional controls: Assume compromise mindset, layered detection threat hunting, threat intelligence.</v>
      </c>
      <c r="Z69" s="95"/>
      <c r="AA69" s="96"/>
      <c r="AB69" s="85"/>
      <c r="AC69" s="86"/>
      <c r="AD69" s="87" t="str">
        <f>IFERROR(IF('[1]2. Prepare'!$O$50="Quantitative",INDEX('[1]Lists and Calcs (Hidden)'!$M$12:$Q$16,MATCH('[1]6. Risk Register Integration'!AB69,'[1]Lists and Calcs (Hidden)'!$K$12:$K$16,0),MATCH('[1]6. Risk Register Integration'!AC69,'[1]Lists and Calcs (Hidden)'!$M$10:$Q$10,0)),INDEX('[1]Lists and Calcs (Hidden)'!$Z$12:$AD$16,MATCH('[1]6. Risk Register Integration'!AB69,'[1]Lists and Calcs (Hidden)'!$X$12:$X$16,0),MATCH('[1]6. Risk Register Integration'!AC69,'[1]Lists and Calcs (Hidden)'!$Z$10:$AD$10,0))),"")</f>
        <v/>
      </c>
      <c r="AE69" s="54"/>
      <c r="AF69" s="4"/>
      <c r="AG69" s="4"/>
    </row>
    <row r="70" spans="2:33" ht="330" customHeight="1" x14ac:dyDescent="0.2">
      <c r="B70" s="107"/>
      <c r="C70" s="98" t="str">
        <f>IF('[1]Lists and Calcs (Hidden)'!AJ94="","",
                    IF(INDEX('[1]5. Assess Risks'!$B$6:$B$704,MATCH('[1]Lists and Calcs (Hidden)'!AJ94,'[1]Lists and Calcs (Hidden)'!$AB$34:$AB$732,0))="","",
                                    INDEX('[1]5. Assess Risks'!$B$6:$B$704,MATCH('[1]Lists and Calcs (Hidden)'!AJ94,'[1]Lists and Calcs (Hidden)'!$AB$34:$AB$732,0))
))</f>
        <v>TRA1.74 - ERP System - Critical Systems Disruption: Management tools often control and configure essential infrastructure components like power grids, transportation systems, or industrial control systems. An attacker could modify settings to trigger outages, manipulate control systems to create physical damage, or disrupt essential services. 
Privilege Escalation: Management tools inherently provide some level of privileged access or control over systems. By exploiting vulnerabilities within these tools, attackers can bypass security measures and elevate their privileges, which can grant them unauthorized access to sensitive data or system functionalities. 
Data Theft: Attackers can exploit vulnerabilities or misconfigurations in these tools to steal sensitive data or manipulate system configurations.</v>
      </c>
      <c r="D70" s="90">
        <f>IF(C70="", "", '[1]2. Prepare'!$E$6)</f>
        <v>45033</v>
      </c>
      <c r="E70" s="91"/>
      <c r="F70" s="91"/>
      <c r="G70" s="91"/>
      <c r="H70" s="91"/>
      <c r="I70" s="98" t="str">
        <f>IF('[1]Lists and Calcs (Hidden)'!AJ94="","",
                    IF(INDEX('[1]5. Assess Risks'!$D$6:$D$704,MATCH('[1]Lists and Calcs (Hidden)'!AJ94,'[1]Lists and Calcs (Hidden)'!$AB$34:$AB$732,0))="","",
                                    INDEX('[1]5. Assess Risks'!$D$6:$D$704,MATCH('[1]Lists and Calcs (Hidden)'!AJ94,'[1]Lists and Calcs (Hidden)'!$AB$34:$AB$732,0))
))</f>
        <v>WAF, Email Filtering, Vulnerability Management Program, Application Safelisting, Security Awareness Training Program, Phishing Simulations, Firewall, Endpoint Detection and Response, Intrusion Detection and Protection, Data Loss Prevention.</v>
      </c>
      <c r="J70" s="91"/>
      <c r="K70" s="91"/>
      <c r="L70" s="91"/>
      <c r="M70" s="91"/>
      <c r="N70" s="91"/>
      <c r="O70" s="91"/>
      <c r="P70" s="99" t="str">
        <f>IF('[1]Lists and Calcs (Hidden)'!AJ94="","",
                    IF(INDEX('[1]5. Assess Risks'!$G$6:$G$704,MATCH('[1]Lists and Calcs (Hidden)'!AJ94,'[1]Lists and Calcs (Hidden)'!$AB$34:$AB$732,0))="","",
                                    INDEX('[1]5. Assess Risks'!$G$6:$G$704,MATCH('[1]Lists and Calcs (Hidden)'!AJ94,'[1]Lists and Calcs (Hidden)'!$AB$34:$AB$732,0))
))</f>
        <v>Possible</v>
      </c>
      <c r="Q70" s="99" t="str">
        <f>IF('[1]Lists and Calcs (Hidden)'!AJ94="","",
                    IF(INDEX('[1]5. Assess Risks'!$H$6:$H$704,MATCH('[1]Lists and Calcs (Hidden)'!AJ94,'[1]Lists and Calcs (Hidden)'!$AB$34:$AB$732,0))="","",
                                    INDEX('[1]5. Assess Risks'!$H$6:$H$704,MATCH('[1]Lists and Calcs (Hidden)'!AJ94,'[1]Lists and Calcs (Hidden)'!$AB$34:$AB$732,0))
))</f>
        <v>Major</v>
      </c>
      <c r="R70" s="100" t="str">
        <f>IFERROR(IF('[1]2. Prepare'!$O$50="Quantitative",INDEX('[1]Lists and Calcs (Hidden)'!$M$12:$Q$16,MATCH('[1]6. Risk Register Integration'!P70,'[1]Lists and Calcs (Hidden)'!$K$12:$K$16,0),MATCH('[1]6. Risk Register Integration'!Q70,'[1]Lists and Calcs (Hidden)'!$M$10:$Q$10,0)),INDEX('[1]Lists and Calcs (Hidden)'!$Z$12:$AD$16,MATCH('[1]6. Risk Register Integration'!P70,'[1]Lists and Calcs (Hidden)'!$X$12:$X$16,0),MATCH('[1]6. Risk Register Integration'!Q70,'[1]Lists and Calcs (Hidden)'!$Z$10:$AD$10,0))),"")</f>
        <v>Medium</v>
      </c>
      <c r="S70" s="101" t="str">
        <f>IF('[1]Lists and Calcs (Hidden)'!AJ94="","",
                    IF(INDEX('[1]5. Assess Risks'!$J$6:$J$704,MATCH('[1]Lists and Calcs (Hidden)'!AJ94,'[1]Lists and Calcs (Hidden)'!$AB$34:$AB$732,0))="","",
                                    INDEX('[1]5. Assess Risks'!$J$6:$J$704,MATCH('[1]Lists and Calcs (Hidden)'!AJ94,'[1]Lists and Calcs (Hidden)'!$AB$34:$AB$732,0))
))</f>
        <v>Formally Accept the Risk</v>
      </c>
      <c r="T70" s="102"/>
      <c r="U70" s="105"/>
      <c r="V70" s="106"/>
      <c r="W70" s="105"/>
      <c r="X70" s="105"/>
      <c r="Y70" s="98" t="str">
        <f>IF('[1]Lists and Calcs (Hidden)'!AJ94="","",
                    IF(INDEX('[1]5. Assess Risks'!$L$6:$L$704,MATCH('[1]Lists and Calcs (Hidden)'!AJ94,'[1]Lists and Calcs (Hidden)'!$AB$34:$AB$732,0))="","",
                                    INDEX('[1]5. Assess Risks'!$L$6:$L$704,MATCH('[1]Lists and Calcs (Hidden)'!AJ94,'[1]Lists and Calcs (Hidden)'!$AB$34:$AB$732,0))
))</f>
        <v>Source of residual risk: Stored credentials, weak password practices, configuration files.
Potential additional controls: Secure credential storage, MFA, least privilege, auditing and monitoring.</v>
      </c>
      <c r="Z70" s="95"/>
      <c r="AA70" s="96"/>
      <c r="AB70" s="85"/>
      <c r="AC70" s="86"/>
      <c r="AD70" s="87" t="str">
        <f>IFERROR(IF('[1]2. Prepare'!$O$50="Quantitative",INDEX('[1]Lists and Calcs (Hidden)'!$M$12:$Q$16,MATCH('[1]6. Risk Register Integration'!AB70,'[1]Lists and Calcs (Hidden)'!$K$12:$K$16,0),MATCH('[1]6. Risk Register Integration'!AC70,'[1]Lists and Calcs (Hidden)'!$M$10:$Q$10,0)),INDEX('[1]Lists and Calcs (Hidden)'!$Z$12:$AD$16,MATCH('[1]6. Risk Register Integration'!AB70,'[1]Lists and Calcs (Hidden)'!$X$12:$X$16,0),MATCH('[1]6. Risk Register Integration'!AC70,'[1]Lists and Calcs (Hidden)'!$Z$10:$AD$10,0))),"")</f>
        <v/>
      </c>
      <c r="AE70" s="54"/>
      <c r="AF70" s="4"/>
      <c r="AG70" s="4"/>
    </row>
    <row r="71" spans="2:33" ht="330" customHeight="1" x14ac:dyDescent="0.2">
      <c r="B71" s="108"/>
      <c r="C71" s="89" t="str">
        <f>IF('[1]Lists and Calcs (Hidden)'!AJ95="","",
                    IF(INDEX('[1]5. Assess Risks'!$B$6:$B$704,MATCH('[1]Lists and Calcs (Hidden)'!AJ95,'[1]Lists and Calcs (Hidden)'!$AB$34:$AB$732,0))="","",
                                    INDEX('[1]5. Assess Risks'!$B$6:$B$704,MATCH('[1]Lists and Calcs (Hidden)'!AJ95,'[1]Lists and Calcs (Hidden)'!$AB$34:$AB$732,0))
))</f>
        <v>TRA1.75 - ERP System - An attacker launches an SQL injection attack against a web application. This attack exploits a vulnerability in the way the application interacts with the database. If successful, the attacker can use SQL injection to query the database and gather information about its structure, tables, and potentially even sensitive data within those tables. This information can be used to identify weaknesses in the database schema or plan further attacks to steal or manipulate data.</v>
      </c>
      <c r="D71" s="90">
        <f>IF(C71="", "", '[1]2. Prepare'!$E$6)</f>
        <v>45033</v>
      </c>
      <c r="E71" s="91"/>
      <c r="F71" s="91"/>
      <c r="G71" s="91"/>
      <c r="H71" s="91"/>
      <c r="I71" s="89" t="str">
        <f>IF('[1]Lists and Calcs (Hidden)'!AJ95="","",
                    IF(INDEX('[1]5. Assess Risks'!$D$6:$D$704,MATCH('[1]Lists and Calcs (Hidden)'!AJ95,'[1]Lists and Calcs (Hidden)'!$AB$34:$AB$732,0))="","",
                                    INDEX('[1]5. Assess Risks'!$D$6:$D$704,MATCH('[1]Lists and Calcs (Hidden)'!AJ95,'[1]Lists and Calcs (Hidden)'!$AB$34:$AB$732,0))
))</f>
        <v>WAF, Email Filtering, Vulnerability Management Program, Application Safelisting, Security Awareness Training Program, Phishing Simulations, Firewall, Endpoint Detection and Response, Intrusion Detection and Protection, Data Loss Prevention.</v>
      </c>
      <c r="J71" s="91"/>
      <c r="K71" s="91"/>
      <c r="L71" s="91"/>
      <c r="M71" s="91"/>
      <c r="N71" s="91"/>
      <c r="O71" s="91"/>
      <c r="P71" s="92" t="str">
        <f>IF('[1]Lists and Calcs (Hidden)'!AJ95="","",
                    IF(INDEX('[1]5. Assess Risks'!$G$6:$G$704,MATCH('[1]Lists and Calcs (Hidden)'!AJ95,'[1]Lists and Calcs (Hidden)'!$AB$34:$AB$732,0))="","",
                                    INDEX('[1]5. Assess Risks'!$G$6:$G$704,MATCH('[1]Lists and Calcs (Hidden)'!AJ95,'[1]Lists and Calcs (Hidden)'!$AB$34:$AB$732,0))
))</f>
        <v>Likely</v>
      </c>
      <c r="Q71" s="92" t="str">
        <f>IF('[1]Lists and Calcs (Hidden)'!AJ95="","",
                    IF(INDEX('[1]5. Assess Risks'!$H$6:$H$704,MATCH('[1]Lists and Calcs (Hidden)'!AJ95,'[1]Lists and Calcs (Hidden)'!$AB$34:$AB$732,0))="","",
                                    INDEX('[1]5. Assess Risks'!$H$6:$H$704,MATCH('[1]Lists and Calcs (Hidden)'!AJ95,'[1]Lists and Calcs (Hidden)'!$AB$34:$AB$732,0))
))</f>
        <v>Minor</v>
      </c>
      <c r="R71" s="93" t="str">
        <f>IFERROR(IF('[1]2. Prepare'!$O$50="Quantitative",INDEX('[1]Lists and Calcs (Hidden)'!$M$12:$Q$16,MATCH('[1]6. Risk Register Integration'!P71,'[1]Lists and Calcs (Hidden)'!$K$12:$K$16,0),MATCH('[1]6. Risk Register Integration'!Q71,'[1]Lists and Calcs (Hidden)'!$M$10:$Q$10,0)),INDEX('[1]Lists and Calcs (Hidden)'!$Z$12:$AD$16,MATCH('[1]6. Risk Register Integration'!P71,'[1]Lists and Calcs (Hidden)'!$X$12:$X$16,0),MATCH('[1]6. Risk Register Integration'!Q71,'[1]Lists and Calcs (Hidden)'!$Z$10:$AD$10,0))),"")</f>
        <v>Medium</v>
      </c>
      <c r="S71" s="94" t="str">
        <f>IF('[1]Lists and Calcs (Hidden)'!AJ95="","",
                    IF(INDEX('[1]5. Assess Risks'!$J$6:$J$704,MATCH('[1]Lists and Calcs (Hidden)'!AJ95,'[1]Lists and Calcs (Hidden)'!$AB$34:$AB$732,0))="","",
                                    INDEX('[1]5. Assess Risks'!$J$6:$J$704,MATCH('[1]Lists and Calcs (Hidden)'!AJ95,'[1]Lists and Calcs (Hidden)'!$AB$34:$AB$732,0))
))</f>
        <v>No New Actions Needed</v>
      </c>
      <c r="T71" s="102"/>
      <c r="U71" s="105"/>
      <c r="V71" s="106"/>
      <c r="W71" s="105"/>
      <c r="X71" s="105"/>
      <c r="Y71" s="89" t="str">
        <f>IF('[1]Lists and Calcs (Hidden)'!AJ95="","",
                    IF(INDEX('[1]5. Assess Risks'!$L$6:$L$704,MATCH('[1]Lists and Calcs (Hidden)'!AJ95,'[1]Lists and Calcs (Hidden)'!$AB$34:$AB$732,0))="","",
                                    INDEX('[1]5. Assess Risks'!$L$6:$L$704,MATCH('[1]Lists and Calcs (Hidden)'!AJ95,'[1]Lists and Calcs (Hidden)'!$AB$34:$AB$732,0))
))</f>
        <v>Source of residual risk: Existing controls have a pre-compromise focus.
Potential additional controls: Network traffic analysis, reduce exposure, activity monitoring, honeypots.</v>
      </c>
      <c r="Z71" s="95"/>
      <c r="AA71" s="96"/>
      <c r="AB71" s="85"/>
      <c r="AC71" s="86"/>
      <c r="AD71" s="87" t="str">
        <f>IFERROR(IF('[1]2. Prepare'!$O$50="Quantitative",INDEX('[1]Lists and Calcs (Hidden)'!$M$12:$Q$16,MATCH('[1]6. Risk Register Integration'!AB71,'[1]Lists and Calcs (Hidden)'!$K$12:$K$16,0),MATCH('[1]6. Risk Register Integration'!AC71,'[1]Lists and Calcs (Hidden)'!$M$10:$Q$10,0)),INDEX('[1]Lists and Calcs (Hidden)'!$Z$12:$AD$16,MATCH('[1]6. Risk Register Integration'!AB71,'[1]Lists and Calcs (Hidden)'!$X$12:$X$16,0),MATCH('[1]6. Risk Register Integration'!AC71,'[1]Lists and Calcs (Hidden)'!$Z$10:$AD$10,0))),"")</f>
        <v/>
      </c>
      <c r="AE71" s="54"/>
      <c r="AF71" s="4"/>
      <c r="AG71" s="4"/>
    </row>
    <row r="72" spans="2:33" ht="330" customHeight="1" x14ac:dyDescent="0.2">
      <c r="B72" s="107"/>
      <c r="C72" s="98" t="str">
        <f>IF('[1]Lists and Calcs (Hidden)'!AJ96="","",
                    IF(INDEX('[1]5. Assess Risks'!$B$6:$B$704,MATCH('[1]Lists and Calcs (Hidden)'!AJ96,'[1]Lists and Calcs (Hidden)'!$AB$34:$AB$732,0))="","",
                                    INDEX('[1]5. Assess Risks'!$B$6:$B$704,MATCH('[1]Lists and Calcs (Hidden)'!AJ96,'[1]Lists and Calcs (Hidden)'!$AB$34:$AB$732,0))
))</f>
        <v>TRA1.77 - ERP System - An attacker gains access to a database system with a legitimate user account. This account might have limited permissions to query or retrieve data. The attacker attempts to manipulate data within the database but triggers security alerts or logs that would notify administrators of suspicious activity. To evade detection, the attacker modifies their queries to appear more like standard data retrieval requests. These modifications might involve techniques like obfuscating malicious code within comments or leveraging complex logic within seemingly legitimate queries to achieve their goals without raising red flags.</v>
      </c>
      <c r="D72" s="90">
        <f>IF(C72="", "", '[1]2. Prepare'!$E$6)</f>
        <v>45033</v>
      </c>
      <c r="E72" s="91"/>
      <c r="F72" s="91"/>
      <c r="G72" s="91"/>
      <c r="H72" s="91"/>
      <c r="I72" s="98" t="str">
        <f>IF('[1]Lists and Calcs (Hidden)'!AJ96="","",
                    IF(INDEX('[1]5. Assess Risks'!$D$6:$D$704,MATCH('[1]Lists and Calcs (Hidden)'!AJ96,'[1]Lists and Calcs (Hidden)'!$AB$34:$AB$732,0))="","",
                                    INDEX('[1]5. Assess Risks'!$D$6:$D$704,MATCH('[1]Lists and Calcs (Hidden)'!AJ96,'[1]Lists and Calcs (Hidden)'!$AB$34:$AB$732,0))
))</f>
        <v>WAF, Email Filtering, Vulnerability Management Program, Application Safelisting, Security Awareness Training Program, Phishing Simulations, Firewall, Endpoint Detection and Response, Intrusion Detection and Protection, Data Loss Prevention.</v>
      </c>
      <c r="J72" s="91"/>
      <c r="K72" s="91"/>
      <c r="L72" s="91"/>
      <c r="M72" s="91"/>
      <c r="N72" s="91"/>
      <c r="O72" s="91"/>
      <c r="P72" s="99" t="str">
        <f>IF('[1]Lists and Calcs (Hidden)'!AJ96="","",
                    IF(INDEX('[1]5. Assess Risks'!$G$6:$G$704,MATCH('[1]Lists and Calcs (Hidden)'!AJ96,'[1]Lists and Calcs (Hidden)'!$AB$34:$AB$732,0))="","",
                                    INDEX('[1]5. Assess Risks'!$G$6:$G$704,MATCH('[1]Lists and Calcs (Hidden)'!AJ96,'[1]Lists and Calcs (Hidden)'!$AB$34:$AB$732,0))
))</f>
        <v>Likely</v>
      </c>
      <c r="Q72" s="99" t="str">
        <f>IF('[1]Lists and Calcs (Hidden)'!AJ96="","",
                    IF(INDEX('[1]5. Assess Risks'!$H$6:$H$704,MATCH('[1]Lists and Calcs (Hidden)'!AJ96,'[1]Lists and Calcs (Hidden)'!$AB$34:$AB$732,0))="","",
                                    INDEX('[1]5. Assess Risks'!$H$6:$H$704,MATCH('[1]Lists and Calcs (Hidden)'!AJ96,'[1]Lists and Calcs (Hidden)'!$AB$34:$AB$732,0))
))</f>
        <v>Minor</v>
      </c>
      <c r="R72" s="100" t="str">
        <f>IFERROR(IF('[1]2. Prepare'!$O$50="Quantitative",INDEX('[1]Lists and Calcs (Hidden)'!$M$12:$Q$16,MATCH('[1]6. Risk Register Integration'!P72,'[1]Lists and Calcs (Hidden)'!$K$12:$K$16,0),MATCH('[1]6. Risk Register Integration'!Q72,'[1]Lists and Calcs (Hidden)'!$M$10:$Q$10,0)),INDEX('[1]Lists and Calcs (Hidden)'!$Z$12:$AD$16,MATCH('[1]6. Risk Register Integration'!P72,'[1]Lists and Calcs (Hidden)'!$X$12:$X$16,0),MATCH('[1]6. Risk Register Integration'!Q72,'[1]Lists and Calcs (Hidden)'!$Z$10:$AD$10,0))),"")</f>
        <v>Medium</v>
      </c>
      <c r="S72" s="101" t="str">
        <f>IF('[1]Lists and Calcs (Hidden)'!AJ96="","",
                    IF(INDEX('[1]5. Assess Risks'!$J$6:$J$704,MATCH('[1]Lists and Calcs (Hidden)'!AJ96,'[1]Lists and Calcs (Hidden)'!$AB$34:$AB$732,0))="","",
                                    INDEX('[1]5. Assess Risks'!$J$6:$J$704,MATCH('[1]Lists and Calcs (Hidden)'!AJ96,'[1]Lists and Calcs (Hidden)'!$AB$34:$AB$732,0))
))</f>
        <v>No New Actions Needed</v>
      </c>
      <c r="T72" s="102"/>
      <c r="U72" s="105"/>
      <c r="V72" s="106"/>
      <c r="W72" s="105"/>
      <c r="X72" s="105"/>
      <c r="Y72" s="98" t="str">
        <f>IF('[1]Lists and Calcs (Hidden)'!AJ96="","",
                    IF(INDEX('[1]5. Assess Risks'!$L$6:$L$704,MATCH('[1]Lists and Calcs (Hidden)'!AJ96,'[1]Lists and Calcs (Hidden)'!$AB$34:$AB$732,0))="","",
                                    INDEX('[1]5. Assess Risks'!$L$6:$L$704,MATCH('[1]Lists and Calcs (Hidden)'!AJ96,'[1]Lists and Calcs (Hidden)'!$AB$34:$AB$732,0))
))</f>
        <v>Source of residual risk: Management tools are an attractive target, living off the land, evasive techniques to avoid detection.
Potential additional controls: Network segmentation, least privilege, credential hygiene with MFA, file integrity monitoring.</v>
      </c>
      <c r="Z72" s="95"/>
      <c r="AA72" s="96"/>
      <c r="AB72" s="85"/>
      <c r="AC72" s="86"/>
      <c r="AD72" s="87" t="str">
        <f>IFERROR(IF('[1]2. Prepare'!$O$50="Quantitative",INDEX('[1]Lists and Calcs (Hidden)'!$M$12:$Q$16,MATCH('[1]6. Risk Register Integration'!AB72,'[1]Lists and Calcs (Hidden)'!$K$12:$K$16,0),MATCH('[1]6. Risk Register Integration'!AC72,'[1]Lists and Calcs (Hidden)'!$M$10:$Q$10,0)),INDEX('[1]Lists and Calcs (Hidden)'!$Z$12:$AD$16,MATCH('[1]6. Risk Register Integration'!AB72,'[1]Lists and Calcs (Hidden)'!$X$12:$X$16,0),MATCH('[1]6. Risk Register Integration'!AC72,'[1]Lists and Calcs (Hidden)'!$Z$10:$AD$10,0))),"")</f>
        <v/>
      </c>
      <c r="AE72" s="54"/>
      <c r="AF72" s="4"/>
      <c r="AG72" s="4"/>
    </row>
    <row r="73" spans="2:33" ht="330" customHeight="1" x14ac:dyDescent="0.2">
      <c r="B73" s="107"/>
      <c r="C73" s="89" t="str">
        <f>IF('[1]Lists and Calcs (Hidden)'!AJ97="","",
                    IF(INDEX('[1]5. Assess Risks'!$B$6:$B$704,MATCH('[1]Lists and Calcs (Hidden)'!AJ97,'[1]Lists and Calcs (Hidden)'!$AB$34:$AB$732,0))="","",
                                    INDEX('[1]5. Assess Risks'!$B$6:$B$704,MATCH('[1]Lists and Calcs (Hidden)'!AJ97,'[1]Lists and Calcs (Hidden)'!$AB$34:$AB$732,0))
))</f>
        <v>TRA1.78 - ERP System - Attackers can exploit vulnerabilities to query databases for user info or system details or leverage admin tools to discover privileged users or active connections, all valuable intel for further attacks.</v>
      </c>
      <c r="D73" s="90">
        <f>IF(C73="", "", '[1]2. Prepare'!$E$6)</f>
        <v>45033</v>
      </c>
      <c r="E73" s="91"/>
      <c r="F73" s="91"/>
      <c r="G73" s="91"/>
      <c r="H73" s="91"/>
      <c r="I73" s="89" t="str">
        <f>IF('[1]Lists and Calcs (Hidden)'!AJ97="","",
                    IF(INDEX('[1]5. Assess Risks'!$D$6:$D$704,MATCH('[1]Lists and Calcs (Hidden)'!AJ97,'[1]Lists and Calcs (Hidden)'!$AB$34:$AB$732,0))="","",
                                    INDEX('[1]5. Assess Risks'!$D$6:$D$704,MATCH('[1]Lists and Calcs (Hidden)'!AJ97,'[1]Lists and Calcs (Hidden)'!$AB$34:$AB$732,0))
))</f>
        <v>WAF, Email Filtering, Vulnerability Management Program, Application Safelisting, Security Awareness Training Program, Phishing Simulations, Firewall, Endpoint Detection and Response, Intrusion Detection and Protection, Data Loss Prevention.</v>
      </c>
      <c r="J73" s="91"/>
      <c r="K73" s="91"/>
      <c r="L73" s="91"/>
      <c r="M73" s="91"/>
      <c r="N73" s="91"/>
      <c r="O73" s="91"/>
      <c r="P73" s="92" t="str">
        <f>IF('[1]Lists and Calcs (Hidden)'!AJ97="","",
                    IF(INDEX('[1]5. Assess Risks'!$G$6:$G$704,MATCH('[1]Lists and Calcs (Hidden)'!AJ97,'[1]Lists and Calcs (Hidden)'!$AB$34:$AB$732,0))="","",
                                    INDEX('[1]5. Assess Risks'!$G$6:$G$704,MATCH('[1]Lists and Calcs (Hidden)'!AJ97,'[1]Lists and Calcs (Hidden)'!$AB$34:$AB$732,0))
))</f>
        <v>Possible</v>
      </c>
      <c r="Q73" s="92" t="str">
        <f>IF('[1]Lists and Calcs (Hidden)'!AJ97="","",
                    IF(INDEX('[1]5. Assess Risks'!$H$6:$H$704,MATCH('[1]Lists and Calcs (Hidden)'!AJ97,'[1]Lists and Calcs (Hidden)'!$AB$34:$AB$732,0))="","",
                                    INDEX('[1]5. Assess Risks'!$H$6:$H$704,MATCH('[1]Lists and Calcs (Hidden)'!AJ97,'[1]Lists and Calcs (Hidden)'!$AB$34:$AB$732,0))
))</f>
        <v>Moderate</v>
      </c>
      <c r="R73" s="93" t="str">
        <f>IFERROR(IF('[1]2. Prepare'!$O$50="Quantitative",INDEX('[1]Lists and Calcs (Hidden)'!$M$12:$Q$16,MATCH('[1]6. Risk Register Integration'!P73,'[1]Lists and Calcs (Hidden)'!$K$12:$K$16,0),MATCH('[1]6. Risk Register Integration'!Q73,'[1]Lists and Calcs (Hidden)'!$M$10:$Q$10,0)),INDEX('[1]Lists and Calcs (Hidden)'!$Z$12:$AD$16,MATCH('[1]6. Risk Register Integration'!P73,'[1]Lists and Calcs (Hidden)'!$X$12:$X$16,0),MATCH('[1]6. Risk Register Integration'!Q73,'[1]Lists and Calcs (Hidden)'!$Z$10:$AD$10,0))),"")</f>
        <v>Medium</v>
      </c>
      <c r="S73" s="94" t="str">
        <f>IF('[1]Lists and Calcs (Hidden)'!AJ97="","",
                    IF(INDEX('[1]5. Assess Risks'!$J$6:$J$704,MATCH('[1]Lists and Calcs (Hidden)'!AJ97,'[1]Lists and Calcs (Hidden)'!$AB$34:$AB$732,0))="","",
                                    INDEX('[1]5. Assess Risks'!$J$6:$J$704,MATCH('[1]Lists and Calcs (Hidden)'!AJ97,'[1]Lists and Calcs (Hidden)'!$AB$34:$AB$732,0))
))</f>
        <v>No New Actions Needed</v>
      </c>
      <c r="T73" s="102"/>
      <c r="U73" s="105"/>
      <c r="V73" s="106"/>
      <c r="W73" s="105"/>
      <c r="X73" s="105"/>
      <c r="Y73" s="89" t="str">
        <f>IF('[1]Lists and Calcs (Hidden)'!AJ97="","",
                    IF(INDEX('[1]5. Assess Risks'!$L$6:$L$704,MATCH('[1]Lists and Calcs (Hidden)'!AJ97,'[1]Lists and Calcs (Hidden)'!$AB$34:$AB$732,0))="","",
                                    INDEX('[1]5. Assess Risks'!$L$6:$L$704,MATCH('[1]Lists and Calcs (Hidden)'!AJ97,'[1]Lists and Calcs (Hidden)'!$AB$34:$AB$732,0))
))</f>
        <v>Source of residual risk: Management tools have direct access to sensitive data, attacker evasion tactics
Potential additional controls: Egress filtering, traffic analysis, network segmentation, user behavior analytics.</v>
      </c>
      <c r="Z73" s="95"/>
      <c r="AA73" s="96"/>
      <c r="AB73" s="85"/>
      <c r="AC73" s="86"/>
      <c r="AD73" s="87" t="str">
        <f>IFERROR(IF('[1]2. Prepare'!$O$50="Quantitative",INDEX('[1]Lists and Calcs (Hidden)'!$M$12:$Q$16,MATCH('[1]6. Risk Register Integration'!AB73,'[1]Lists and Calcs (Hidden)'!$K$12:$K$16,0),MATCH('[1]6. Risk Register Integration'!AC73,'[1]Lists and Calcs (Hidden)'!$M$10:$Q$10,0)),INDEX('[1]Lists and Calcs (Hidden)'!$Z$12:$AD$16,MATCH('[1]6. Risk Register Integration'!AB73,'[1]Lists and Calcs (Hidden)'!$X$12:$X$16,0),MATCH('[1]6. Risk Register Integration'!AC73,'[1]Lists and Calcs (Hidden)'!$Z$10:$AD$10,0))),"")</f>
        <v/>
      </c>
      <c r="AE73" s="54"/>
      <c r="AF73" s="4"/>
      <c r="AG73" s="4"/>
    </row>
    <row r="74" spans="2:33" ht="330" customHeight="1" x14ac:dyDescent="0.2">
      <c r="B74" s="107"/>
      <c r="C74" s="98" t="str">
        <f>IF('[1]Lists and Calcs (Hidden)'!AJ98="","",
                    IF(INDEX('[1]5. Assess Risks'!$B$6:$B$704,MATCH('[1]Lists and Calcs (Hidden)'!AJ98,'[1]Lists and Calcs (Hidden)'!$AB$34:$AB$732,0))="","",
                                    INDEX('[1]5. Assess Risks'!$B$6:$B$704,MATCH('[1]Lists and Calcs (Hidden)'!AJ98,'[1]Lists and Calcs (Hidden)'!$AB$34:$AB$732,0))
))</f>
        <v>TRA1.79 - ERP System - The Database component itself might not enable direct lateral movement. But attackers can exploit stolen credentials from the database to pivot and compromise other systems on the network. The database becomes an info source for facilitating lateral movement.</v>
      </c>
      <c r="D74" s="90">
        <f>IF(C74="", "", '[1]2. Prepare'!$E$6)</f>
        <v>45033</v>
      </c>
      <c r="E74" s="91"/>
      <c r="F74" s="91"/>
      <c r="G74" s="91"/>
      <c r="H74" s="91"/>
      <c r="I74" s="98" t="str">
        <f>IF('[1]Lists and Calcs (Hidden)'!AJ98="","",
                    IF(INDEX('[1]5. Assess Risks'!$D$6:$D$704,MATCH('[1]Lists and Calcs (Hidden)'!AJ98,'[1]Lists and Calcs (Hidden)'!$AB$34:$AB$732,0))="","",
                                    INDEX('[1]5. Assess Risks'!$D$6:$D$704,MATCH('[1]Lists and Calcs (Hidden)'!AJ98,'[1]Lists and Calcs (Hidden)'!$AB$34:$AB$732,0))
))</f>
        <v>WAF, Email Filtering, Vulnerability Management Program, Application Safelisting, Security Awareness Training Program, Phishing Simulations, Firewall, Endpoint Detection and Response, Intrusion Detection and Protection, Data Loss Prevention.</v>
      </c>
      <c r="J74" s="91"/>
      <c r="K74" s="91"/>
      <c r="L74" s="91"/>
      <c r="M74" s="91"/>
      <c r="N74" s="91"/>
      <c r="O74" s="91"/>
      <c r="P74" s="99" t="str">
        <f>IF('[1]Lists and Calcs (Hidden)'!AJ98="","",
                    IF(INDEX('[1]5. Assess Risks'!$G$6:$G$704,MATCH('[1]Lists and Calcs (Hidden)'!AJ98,'[1]Lists and Calcs (Hidden)'!$AB$34:$AB$732,0))="","",
                                    INDEX('[1]5. Assess Risks'!$G$6:$G$704,MATCH('[1]Lists and Calcs (Hidden)'!AJ98,'[1]Lists and Calcs (Hidden)'!$AB$34:$AB$732,0))
))</f>
        <v>Possible</v>
      </c>
      <c r="Q74" s="99" t="str">
        <f>IF('[1]Lists and Calcs (Hidden)'!AJ98="","",
                    IF(INDEX('[1]5. Assess Risks'!$H$6:$H$704,MATCH('[1]Lists and Calcs (Hidden)'!AJ98,'[1]Lists and Calcs (Hidden)'!$AB$34:$AB$732,0))="","",
                                    INDEX('[1]5. Assess Risks'!$H$6:$H$704,MATCH('[1]Lists and Calcs (Hidden)'!AJ98,'[1]Lists and Calcs (Hidden)'!$AB$34:$AB$732,0))
))</f>
        <v>Catastrophic</v>
      </c>
      <c r="R74" s="100" t="str">
        <f>IFERROR(IF('[1]2. Prepare'!$O$50="Quantitative",INDEX('[1]Lists and Calcs (Hidden)'!$M$12:$Q$16,MATCH('[1]6. Risk Register Integration'!P74,'[1]Lists and Calcs (Hidden)'!$K$12:$K$16,0),MATCH('[1]6. Risk Register Integration'!Q74,'[1]Lists and Calcs (Hidden)'!$M$10:$Q$10,0)),INDEX('[1]Lists and Calcs (Hidden)'!$Z$12:$AD$16,MATCH('[1]6. Risk Register Integration'!P74,'[1]Lists and Calcs (Hidden)'!$X$12:$X$16,0),MATCH('[1]6. Risk Register Integration'!Q74,'[1]Lists and Calcs (Hidden)'!$Z$10:$AD$10,0))),"")</f>
        <v>High</v>
      </c>
      <c r="S74" s="101" t="str">
        <f>IF('[1]Lists and Calcs (Hidden)'!AJ98="","",
                    IF(INDEX('[1]5. Assess Risks'!$J$6:$J$704,MATCH('[1]Lists and Calcs (Hidden)'!AJ98,'[1]Lists and Calcs (Hidden)'!$AB$34:$AB$732,0))="","",
                                    INDEX('[1]5. Assess Risks'!$J$6:$J$704,MATCH('[1]Lists and Calcs (Hidden)'!AJ98,'[1]Lists and Calcs (Hidden)'!$AB$34:$AB$732,0))
))</f>
        <v>Mitigate the Risk</v>
      </c>
      <c r="T74" s="102"/>
      <c r="U74" s="105"/>
      <c r="V74" s="106"/>
      <c r="W74" s="105"/>
      <c r="X74" s="105"/>
      <c r="Y74" s="98" t="str">
        <f>IF('[1]Lists and Calcs (Hidden)'!AJ98="","",
                    IF(INDEX('[1]5. Assess Risks'!$L$6:$L$704,MATCH('[1]Lists and Calcs (Hidden)'!AJ98,'[1]Lists and Calcs (Hidden)'!$AB$34:$AB$732,0))="","",
                                    INDEX('[1]5. Assess Risks'!$L$6:$L$704,MATCH('[1]Lists and Calcs (Hidden)'!AJ98,'[1]Lists and Calcs (Hidden)'!$AB$34:$AB$732,0))
))</f>
        <v>Source of residual risk: High-value target, ransomware evolution, skilled attackers, zero-day.
Potential additional controls: Immutable backups, incident response planning, least privilege.</v>
      </c>
      <c r="Z74" s="95"/>
      <c r="AA74" s="96"/>
      <c r="AB74" s="85"/>
      <c r="AC74" s="86"/>
      <c r="AD74" s="87" t="str">
        <f>IFERROR(IF('[1]2. Prepare'!$O$50="Quantitative",INDEX('[1]Lists and Calcs (Hidden)'!$M$12:$Q$16,MATCH('[1]6. Risk Register Integration'!AB74,'[1]Lists and Calcs (Hidden)'!$K$12:$K$16,0),MATCH('[1]6. Risk Register Integration'!AC74,'[1]Lists and Calcs (Hidden)'!$M$10:$Q$10,0)),INDEX('[1]Lists and Calcs (Hidden)'!$Z$12:$AD$16,MATCH('[1]6. Risk Register Integration'!AB74,'[1]Lists and Calcs (Hidden)'!$X$12:$X$16,0),MATCH('[1]6. Risk Register Integration'!AC74,'[1]Lists and Calcs (Hidden)'!$Z$10:$AD$10,0))),"")</f>
        <v/>
      </c>
      <c r="AE74" s="54"/>
      <c r="AF74" s="4"/>
      <c r="AG74" s="4"/>
    </row>
    <row r="75" spans="2:33" ht="330" customHeight="1" x14ac:dyDescent="0.2">
      <c r="B75" s="107"/>
      <c r="C75" s="89" t="str">
        <f>IF('[1]Lists and Calcs (Hidden)'!AJ99="","",
                    IF(INDEX('[1]5. Assess Risks'!$B$6:$B$704,MATCH('[1]Lists and Calcs (Hidden)'!AJ99,'[1]Lists and Calcs (Hidden)'!$AB$34:$AB$732,0))="","",
                                    INDEX('[1]5. Assess Risks'!$B$6:$B$704,MATCH('[1]Lists and Calcs (Hidden)'!AJ99,'[1]Lists and Calcs (Hidden)'!$AB$34:$AB$732,0))
))</f>
        <v>TRA1.80 - ERP System - Attackers can exploit vulnerabilities to directly query databases for sensitive information or abuse privileged access to collect unauthorized data beyond their permissions. Both methods leverage the database itself for data collection.</v>
      </c>
      <c r="D75" s="90">
        <f>IF(C75="", "", '[1]2. Prepare'!$E$6)</f>
        <v>45033</v>
      </c>
      <c r="E75" s="91"/>
      <c r="F75" s="91"/>
      <c r="G75" s="91"/>
      <c r="H75" s="91"/>
      <c r="I75" s="89" t="str">
        <f>IF('[1]Lists and Calcs (Hidden)'!AJ99="","",
                    IF(INDEX('[1]5. Assess Risks'!$D$6:$D$704,MATCH('[1]Lists and Calcs (Hidden)'!AJ99,'[1]Lists and Calcs (Hidden)'!$AB$34:$AB$732,0))="","",
                                    INDEX('[1]5. Assess Risks'!$D$6:$D$704,MATCH('[1]Lists and Calcs (Hidden)'!AJ99,'[1]Lists and Calcs (Hidden)'!$AB$34:$AB$732,0))
))</f>
        <v>WAF, Email Filtering, Vulnerability Management Program, Application Safelisting, Security Awareness Training Program, Phishing Simulations, Firewall, Endpoint Detection and Response, Intrusion Detection and Protection, Data Loss Prevention.</v>
      </c>
      <c r="J75" s="91"/>
      <c r="K75" s="91"/>
      <c r="L75" s="91"/>
      <c r="M75" s="91"/>
      <c r="N75" s="91"/>
      <c r="O75" s="91"/>
      <c r="P75" s="92" t="str">
        <f>IF('[1]Lists and Calcs (Hidden)'!AJ99="","",
                    IF(INDEX('[1]5. Assess Risks'!$G$6:$G$704,MATCH('[1]Lists and Calcs (Hidden)'!AJ99,'[1]Lists and Calcs (Hidden)'!$AB$34:$AB$732,0))="","",
                                    INDEX('[1]5. Assess Risks'!$G$6:$G$704,MATCH('[1]Lists and Calcs (Hidden)'!AJ99,'[1]Lists and Calcs (Hidden)'!$AB$34:$AB$732,0))
))</f>
        <v>Likely</v>
      </c>
      <c r="Q75" s="92" t="str">
        <f>IF('[1]Lists and Calcs (Hidden)'!AJ99="","",
                    IF(INDEX('[1]5. Assess Risks'!$H$6:$H$704,MATCH('[1]Lists and Calcs (Hidden)'!AJ99,'[1]Lists and Calcs (Hidden)'!$AB$34:$AB$732,0))="","",
                                    INDEX('[1]5. Assess Risks'!$H$6:$H$704,MATCH('[1]Lists and Calcs (Hidden)'!AJ99,'[1]Lists and Calcs (Hidden)'!$AB$34:$AB$732,0))
))</f>
        <v>Minor</v>
      </c>
      <c r="R75" s="93" t="str">
        <f>IFERROR(IF('[1]2. Prepare'!$O$50="Quantitative",INDEX('[1]Lists and Calcs (Hidden)'!$M$12:$Q$16,MATCH('[1]6. Risk Register Integration'!P75,'[1]Lists and Calcs (Hidden)'!$K$12:$K$16,0),MATCH('[1]6. Risk Register Integration'!Q75,'[1]Lists and Calcs (Hidden)'!$M$10:$Q$10,0)),INDEX('[1]Lists and Calcs (Hidden)'!$Z$12:$AD$16,MATCH('[1]6. Risk Register Integration'!P75,'[1]Lists and Calcs (Hidden)'!$X$12:$X$16,0),MATCH('[1]6. Risk Register Integration'!Q75,'[1]Lists and Calcs (Hidden)'!$Z$10:$AD$10,0))),"")</f>
        <v>Medium</v>
      </c>
      <c r="S75" s="94" t="str">
        <f>IF('[1]Lists and Calcs (Hidden)'!AJ99="","",
                    IF(INDEX('[1]5. Assess Risks'!$J$6:$J$704,MATCH('[1]Lists and Calcs (Hidden)'!AJ99,'[1]Lists and Calcs (Hidden)'!$AB$34:$AB$732,0))="","",
                                    INDEX('[1]5. Assess Risks'!$J$6:$J$704,MATCH('[1]Lists and Calcs (Hidden)'!AJ99,'[1]Lists and Calcs (Hidden)'!$AB$34:$AB$732,0))
))</f>
        <v>No New Actions Needed</v>
      </c>
      <c r="T75" s="102"/>
      <c r="U75" s="105"/>
      <c r="V75" s="106"/>
      <c r="W75" s="105"/>
      <c r="X75" s="105"/>
      <c r="Y75" s="89" t="str">
        <f>IF('[1]Lists and Calcs (Hidden)'!AJ99="","",
                    IF(INDEX('[1]5. Assess Risks'!$L$6:$L$704,MATCH('[1]Lists and Calcs (Hidden)'!AJ99,'[1]Lists and Calcs (Hidden)'!$AB$34:$AB$732,0))="","",
                                    INDEX('[1]5. Assess Risks'!$L$6:$L$704,MATCH('[1]Lists and Calcs (Hidden)'!AJ99,'[1]Lists and Calcs (Hidden)'!$AB$34:$AB$732,0))
))</f>
        <v>Source of residual risk: High-value targets, ease of basic technique, valuable intelligence.
Potential additional controls: Minimize exposure, network traffic analysis, honeypots.</v>
      </c>
      <c r="Z75" s="95"/>
      <c r="AA75" s="96"/>
      <c r="AB75" s="85"/>
      <c r="AC75" s="86"/>
      <c r="AD75" s="87" t="str">
        <f>IFERROR(IF('[1]2. Prepare'!$O$50="Quantitative",INDEX('[1]Lists and Calcs (Hidden)'!$M$12:$Q$16,MATCH('[1]6. Risk Register Integration'!AB75,'[1]Lists and Calcs (Hidden)'!$K$12:$K$16,0),MATCH('[1]6. Risk Register Integration'!AC75,'[1]Lists and Calcs (Hidden)'!$M$10:$Q$10,0)),INDEX('[1]Lists and Calcs (Hidden)'!$Z$12:$AD$16,MATCH('[1]6. Risk Register Integration'!AB75,'[1]Lists and Calcs (Hidden)'!$X$12:$X$16,0),MATCH('[1]6. Risk Register Integration'!AC75,'[1]Lists and Calcs (Hidden)'!$Z$10:$AD$10,0))),"")</f>
        <v/>
      </c>
      <c r="AE75" s="54"/>
      <c r="AF75" s="4"/>
      <c r="AG75" s="4"/>
    </row>
    <row r="76" spans="2:33" ht="330" customHeight="1" x14ac:dyDescent="0.2">
      <c r="B76" s="107"/>
      <c r="C76" s="98" t="str">
        <f>IF('[1]Lists and Calcs (Hidden)'!AJ100="","",
                    IF(INDEX('[1]5. Assess Risks'!$B$6:$B$704,MATCH('[1]Lists and Calcs (Hidden)'!AJ100,'[1]Lists and Calcs (Hidden)'!$AB$34:$AB$732,0))="","",
                                    INDEX('[1]5. Assess Risks'!$B$6:$B$704,MATCH('[1]Lists and Calcs (Hidden)'!AJ100,'[1]Lists and Calcs (Hidden)'!$AB$34:$AB$732,0))
))</f>
        <v>TRA1.81 - ERP System - The Exfiltration tactic directly applies to databases. Attackers can exploit vulnerabilities or steal credentials to access the database. Once inside, they can write malicious queries, dump data, or manipulate processes to exfiltrate sensitive information directly from the database.</v>
      </c>
      <c r="D76" s="90">
        <f>IF(C76="", "", '[1]2. Prepare'!$E$6)</f>
        <v>45033</v>
      </c>
      <c r="E76" s="91"/>
      <c r="F76" s="91"/>
      <c r="G76" s="91"/>
      <c r="H76" s="91"/>
      <c r="I76" s="98" t="str">
        <f>IF('[1]Lists and Calcs (Hidden)'!AJ100="","",
                    IF(INDEX('[1]5. Assess Risks'!$D$6:$D$704,MATCH('[1]Lists and Calcs (Hidden)'!AJ100,'[1]Lists and Calcs (Hidden)'!$AB$34:$AB$732,0))="","",
                                    INDEX('[1]5. Assess Risks'!$D$6:$D$704,MATCH('[1]Lists and Calcs (Hidden)'!AJ100,'[1]Lists and Calcs (Hidden)'!$AB$34:$AB$732,0))
))</f>
        <v>WAF, Email Filtering, Vulnerability Management Program, Application Safelisting, Security Awareness Training Program, Phishing Simulations, Firewall, Endpoint Detection and Response, Intrusion Detection and Protection, Data Loss Prevention.</v>
      </c>
      <c r="J76" s="91"/>
      <c r="K76" s="91"/>
      <c r="L76" s="91"/>
      <c r="M76" s="91"/>
      <c r="N76" s="91"/>
      <c r="O76" s="91"/>
      <c r="P76" s="99" t="str">
        <f>IF('[1]Lists and Calcs (Hidden)'!AJ100="","",
                    IF(INDEX('[1]5. Assess Risks'!$G$6:$G$704,MATCH('[1]Lists and Calcs (Hidden)'!AJ100,'[1]Lists and Calcs (Hidden)'!$AB$34:$AB$732,0))="","",
                                    INDEX('[1]5. Assess Risks'!$G$6:$G$704,MATCH('[1]Lists and Calcs (Hidden)'!AJ100,'[1]Lists and Calcs (Hidden)'!$AB$34:$AB$732,0))
))</f>
        <v>Possible</v>
      </c>
      <c r="Q76" s="99" t="str">
        <f>IF('[1]Lists and Calcs (Hidden)'!AJ100="","",
                    IF(INDEX('[1]5. Assess Risks'!$H$6:$H$704,MATCH('[1]Lists and Calcs (Hidden)'!AJ100,'[1]Lists and Calcs (Hidden)'!$AB$34:$AB$732,0))="","",
                                    INDEX('[1]5. Assess Risks'!$H$6:$H$704,MATCH('[1]Lists and Calcs (Hidden)'!AJ100,'[1]Lists and Calcs (Hidden)'!$AB$34:$AB$732,0))
))</f>
        <v>Moderate</v>
      </c>
      <c r="R76" s="100" t="str">
        <f>IFERROR(IF('[1]2. Prepare'!$O$50="Quantitative",INDEX('[1]Lists and Calcs (Hidden)'!$M$12:$Q$16,MATCH('[1]6. Risk Register Integration'!P76,'[1]Lists and Calcs (Hidden)'!$K$12:$K$16,0),MATCH('[1]6. Risk Register Integration'!Q76,'[1]Lists and Calcs (Hidden)'!$M$10:$Q$10,0)),INDEX('[1]Lists and Calcs (Hidden)'!$Z$12:$AD$16,MATCH('[1]6. Risk Register Integration'!P76,'[1]Lists and Calcs (Hidden)'!$X$12:$X$16,0),MATCH('[1]6. Risk Register Integration'!Q76,'[1]Lists and Calcs (Hidden)'!$Z$10:$AD$10,0))),"")</f>
        <v>Medium</v>
      </c>
      <c r="S76" s="101" t="str">
        <f>IF('[1]Lists and Calcs (Hidden)'!AJ100="","",
                    IF(INDEX('[1]5. Assess Risks'!$J$6:$J$704,MATCH('[1]Lists and Calcs (Hidden)'!AJ100,'[1]Lists and Calcs (Hidden)'!$AB$34:$AB$732,0))="","",
                                    INDEX('[1]5. Assess Risks'!$J$6:$J$704,MATCH('[1]Lists and Calcs (Hidden)'!AJ100,'[1]Lists and Calcs (Hidden)'!$AB$34:$AB$732,0))
))</f>
        <v>No New Actions Needed</v>
      </c>
      <c r="T76" s="102"/>
      <c r="U76" s="105"/>
      <c r="V76" s="106"/>
      <c r="W76" s="105"/>
      <c r="X76" s="105"/>
      <c r="Y76" s="98" t="str">
        <f>IF('[1]Lists and Calcs (Hidden)'!AJ100="","",
                    IF(INDEX('[1]5. Assess Risks'!$L$6:$L$704,MATCH('[1]Lists and Calcs (Hidden)'!AJ100,'[1]Lists and Calcs (Hidden)'!$AB$34:$AB$732,0))="","",
                                    INDEX('[1]5. Assess Risks'!$L$6:$L$704,MATCH('[1]Lists and Calcs (Hidden)'!AJ100,'[1]Lists and Calcs (Hidden)'!$AB$34:$AB$732,0))
))</f>
        <v>Source of residual risk: Database complexity, shared servers.
Potential additional controls: Least privilege, database hardening, database monitoring.</v>
      </c>
      <c r="Z76" s="95"/>
      <c r="AA76" s="96"/>
      <c r="AB76" s="85"/>
      <c r="AC76" s="86"/>
      <c r="AD76" s="87" t="str">
        <f>IFERROR(IF('[1]2. Prepare'!$O$50="Quantitative",INDEX('[1]Lists and Calcs (Hidden)'!$M$12:$Q$16,MATCH('[1]6. Risk Register Integration'!AB76,'[1]Lists and Calcs (Hidden)'!$K$12:$K$16,0),MATCH('[1]6. Risk Register Integration'!AC76,'[1]Lists and Calcs (Hidden)'!$M$10:$Q$10,0)),INDEX('[1]Lists and Calcs (Hidden)'!$Z$12:$AD$16,MATCH('[1]6. Risk Register Integration'!AB76,'[1]Lists and Calcs (Hidden)'!$X$12:$X$16,0),MATCH('[1]6. Risk Register Integration'!AC76,'[1]Lists and Calcs (Hidden)'!$Z$10:$AD$10,0))),"")</f>
        <v/>
      </c>
      <c r="AE76" s="54"/>
      <c r="AF76" s="4"/>
      <c r="AG76" s="4"/>
    </row>
    <row r="77" spans="2:33" ht="330" customHeight="1" x14ac:dyDescent="0.2">
      <c r="B77" s="107"/>
      <c r="C77" s="89" t="str">
        <f>IF('[1]Lists and Calcs (Hidden)'!AJ101="","",
                    IF(INDEX('[1]5. Assess Risks'!$B$6:$B$704,MATCH('[1]Lists and Calcs (Hidden)'!AJ101,'[1]Lists and Calcs (Hidden)'!$AB$34:$AB$732,0))="","",
                                    INDEX('[1]5. Assess Risks'!$B$6:$B$704,MATCH('[1]Lists and Calcs (Hidden)'!AJ101,'[1]Lists and Calcs (Hidden)'!$AB$34:$AB$732,0))
))</f>
        <v>TRA1.82 - ERP System - Databases are prime targets due to the potential impact. Attackers can steal sensitive data (financial records, personal info) or manipulate it (corrupt critical information) to cause financial loss, disrupt operations, or damage an organization's reputation. Breached credentials can also lead to further compromise within the network.</v>
      </c>
      <c r="D77" s="90">
        <f>IF(C77="", "", '[1]2. Prepare'!$E$6)</f>
        <v>45033</v>
      </c>
      <c r="E77" s="91"/>
      <c r="F77" s="91"/>
      <c r="G77" s="91"/>
      <c r="H77" s="91"/>
      <c r="I77" s="89" t="str">
        <f>IF('[1]Lists and Calcs (Hidden)'!AJ101="","",
                    IF(INDEX('[1]5. Assess Risks'!$D$6:$D$704,MATCH('[1]Lists and Calcs (Hidden)'!AJ101,'[1]Lists and Calcs (Hidden)'!$AB$34:$AB$732,0))="","",
                                    INDEX('[1]5. Assess Risks'!$D$6:$D$704,MATCH('[1]Lists and Calcs (Hidden)'!AJ101,'[1]Lists and Calcs (Hidden)'!$AB$34:$AB$732,0))
))</f>
        <v>WAF, Email Filtering, Vulnerability Management Program, Application Safelisting, Security Awareness Training Program, Phishing Simulations, Firewall, Endpoint Detection and Response, Intrusion Detection and Protection, Data Loss Prevention.</v>
      </c>
      <c r="J77" s="91"/>
      <c r="K77" s="91"/>
      <c r="L77" s="91"/>
      <c r="M77" s="91"/>
      <c r="N77" s="91"/>
      <c r="O77" s="91"/>
      <c r="P77" s="92" t="str">
        <f>IF('[1]Lists and Calcs (Hidden)'!AJ101="","",
                    IF(INDEX('[1]5. Assess Risks'!$G$6:$G$704,MATCH('[1]Lists and Calcs (Hidden)'!AJ101,'[1]Lists and Calcs (Hidden)'!$AB$34:$AB$732,0))="","",
                                    INDEX('[1]5. Assess Risks'!$G$6:$G$704,MATCH('[1]Lists and Calcs (Hidden)'!AJ101,'[1]Lists and Calcs (Hidden)'!$AB$34:$AB$732,0))
))</f>
        <v>Possible</v>
      </c>
      <c r="Q77" s="92" t="str">
        <f>IF('[1]Lists and Calcs (Hidden)'!AJ101="","",
                    IF(INDEX('[1]5. Assess Risks'!$H$6:$H$704,MATCH('[1]Lists and Calcs (Hidden)'!AJ101,'[1]Lists and Calcs (Hidden)'!$AB$34:$AB$732,0))="","",
                                    INDEX('[1]5. Assess Risks'!$H$6:$H$704,MATCH('[1]Lists and Calcs (Hidden)'!AJ101,'[1]Lists and Calcs (Hidden)'!$AB$34:$AB$732,0))
))</f>
        <v>Minor</v>
      </c>
      <c r="R77" s="93" t="str">
        <f>IFERROR(IF('[1]2. Prepare'!$O$50="Quantitative",INDEX('[1]Lists and Calcs (Hidden)'!$M$12:$Q$16,MATCH('[1]6. Risk Register Integration'!P77,'[1]Lists and Calcs (Hidden)'!$K$12:$K$16,0),MATCH('[1]6. Risk Register Integration'!Q77,'[1]Lists and Calcs (Hidden)'!$M$10:$Q$10,0)),INDEX('[1]Lists and Calcs (Hidden)'!$Z$12:$AD$16,MATCH('[1]6. Risk Register Integration'!P77,'[1]Lists and Calcs (Hidden)'!$X$12:$X$16,0),MATCH('[1]6. Risk Register Integration'!Q77,'[1]Lists and Calcs (Hidden)'!$Z$10:$AD$10,0))),"")</f>
        <v>Medium</v>
      </c>
      <c r="S77" s="94" t="str">
        <f>IF('[1]Lists and Calcs (Hidden)'!AJ101="","",
                    IF(INDEX('[1]5. Assess Risks'!$J$6:$J$704,MATCH('[1]Lists and Calcs (Hidden)'!AJ101,'[1]Lists and Calcs (Hidden)'!$AB$34:$AB$732,0))="","",
                                    INDEX('[1]5. Assess Risks'!$J$6:$J$704,MATCH('[1]Lists and Calcs (Hidden)'!AJ101,'[1]Lists and Calcs (Hidden)'!$AB$34:$AB$732,0))
))</f>
        <v>No New Actions Needed</v>
      </c>
      <c r="T77" s="102"/>
      <c r="U77" s="105"/>
      <c r="V77" s="106"/>
      <c r="W77" s="105"/>
      <c r="X77" s="105"/>
      <c r="Y77" s="89" t="str">
        <f>IF('[1]Lists and Calcs (Hidden)'!AJ101="","",
                    IF(INDEX('[1]5. Assess Risks'!$L$6:$L$704,MATCH('[1]Lists and Calcs (Hidden)'!AJ101,'[1]Lists and Calcs (Hidden)'!$AB$34:$AB$732,0))="","",
                                    INDEX('[1]5. Assess Risks'!$L$6:$L$704,MATCH('[1]Lists and Calcs (Hidden)'!AJ101,'[1]Lists and Calcs (Hidden)'!$AB$34:$AB$732,0))
))</f>
        <v>Source of residual risk: Skilled attackers, zero-days, living off the land, evading detection within the database.
Potential additional controls: Database-specific monitoring.</v>
      </c>
      <c r="Z77" s="95"/>
      <c r="AA77" s="96"/>
      <c r="AB77" s="85"/>
      <c r="AC77" s="86"/>
      <c r="AD77" s="87" t="str">
        <f>IFERROR(IF('[1]2. Prepare'!$O$50="Quantitative",INDEX('[1]Lists and Calcs (Hidden)'!$M$12:$Q$16,MATCH('[1]6. Risk Register Integration'!AB77,'[1]Lists and Calcs (Hidden)'!$K$12:$K$16,0),MATCH('[1]6. Risk Register Integration'!AC77,'[1]Lists and Calcs (Hidden)'!$M$10:$Q$10,0)),INDEX('[1]Lists and Calcs (Hidden)'!$Z$12:$AD$16,MATCH('[1]6. Risk Register Integration'!AB77,'[1]Lists and Calcs (Hidden)'!$X$12:$X$16,0),MATCH('[1]6. Risk Register Integration'!AC77,'[1]Lists and Calcs (Hidden)'!$Z$10:$AD$10,0))),"")</f>
        <v/>
      </c>
      <c r="AE77" s="54"/>
      <c r="AF77" s="4"/>
      <c r="AG77" s="4"/>
    </row>
    <row r="78" spans="2:33" ht="330" customHeight="1" x14ac:dyDescent="0.2">
      <c r="B78" s="107"/>
      <c r="C78" s="98" t="str">
        <f>IF('[1]Lists and Calcs (Hidden)'!AJ102="","",
                    IF(INDEX('[1]5. Assess Risks'!$B$6:$B$704,MATCH('[1]Lists and Calcs (Hidden)'!AJ102,'[1]Lists and Calcs (Hidden)'!$AB$34:$AB$732,0))="","",
                                    INDEX('[1]5. Assess Risks'!$B$6:$B$704,MATCH('[1]Lists and Calcs (Hidden)'!AJ102,'[1]Lists and Calcs (Hidden)'!$AB$34:$AB$732,0))
))</f>
        <v/>
      </c>
      <c r="D78" s="90" t="str">
        <f>IF(C78="", "", '[1]2. Prepare'!$E$6)</f>
        <v/>
      </c>
      <c r="E78" s="91"/>
      <c r="F78" s="91"/>
      <c r="G78" s="91"/>
      <c r="H78" s="91"/>
      <c r="I78" s="98" t="str">
        <f>IF('[1]Lists and Calcs (Hidden)'!AJ102="","",
                    IF(INDEX('[1]5. Assess Risks'!$D$6:$D$704,MATCH('[1]Lists and Calcs (Hidden)'!AJ102,'[1]Lists and Calcs (Hidden)'!$AB$34:$AB$732,0))="","",
                                    INDEX('[1]5. Assess Risks'!$D$6:$D$704,MATCH('[1]Lists and Calcs (Hidden)'!AJ102,'[1]Lists and Calcs (Hidden)'!$AB$34:$AB$732,0))
))</f>
        <v/>
      </c>
      <c r="J78" s="91"/>
      <c r="K78" s="91"/>
      <c r="L78" s="91"/>
      <c r="M78" s="91"/>
      <c r="N78" s="91"/>
      <c r="O78" s="91"/>
      <c r="P78" s="99" t="str">
        <f>IF('[1]Lists and Calcs (Hidden)'!AJ102="","",
                    IF(INDEX('[1]5. Assess Risks'!$G$6:$G$704,MATCH('[1]Lists and Calcs (Hidden)'!AJ102,'[1]Lists and Calcs (Hidden)'!$AB$34:$AB$732,0))="","",
                                    INDEX('[1]5. Assess Risks'!$G$6:$G$704,MATCH('[1]Lists and Calcs (Hidden)'!AJ102,'[1]Lists and Calcs (Hidden)'!$AB$34:$AB$732,0))
))</f>
        <v/>
      </c>
      <c r="Q78" s="99" t="str">
        <f>IF('[1]Lists and Calcs (Hidden)'!AJ102="","",
                    IF(INDEX('[1]5. Assess Risks'!$H$6:$H$704,MATCH('[1]Lists and Calcs (Hidden)'!AJ102,'[1]Lists and Calcs (Hidden)'!$AB$34:$AB$732,0))="","",
                                    INDEX('[1]5. Assess Risks'!$H$6:$H$704,MATCH('[1]Lists and Calcs (Hidden)'!AJ102,'[1]Lists and Calcs (Hidden)'!$AB$34:$AB$732,0))
))</f>
        <v/>
      </c>
      <c r="R78" s="100" t="str">
        <f>IFERROR(IF('[1]2. Prepare'!$O$50="Quantitative",INDEX('[1]Lists and Calcs (Hidden)'!$M$12:$Q$16,MATCH('[1]6. Risk Register Integration'!P78,'[1]Lists and Calcs (Hidden)'!$K$12:$K$16,0),MATCH('[1]6. Risk Register Integration'!Q78,'[1]Lists and Calcs (Hidden)'!$M$10:$Q$10,0)),INDEX('[1]Lists and Calcs (Hidden)'!$Z$12:$AD$16,MATCH('[1]6. Risk Register Integration'!P78,'[1]Lists and Calcs (Hidden)'!$X$12:$X$16,0),MATCH('[1]6. Risk Register Integration'!Q78,'[1]Lists and Calcs (Hidden)'!$Z$10:$AD$10,0))),"")</f>
        <v/>
      </c>
      <c r="S78" s="101" t="str">
        <f>IF('[1]Lists and Calcs (Hidden)'!AJ102="","",
                    IF(INDEX('[1]5. Assess Risks'!$J$6:$J$704,MATCH('[1]Lists and Calcs (Hidden)'!AJ102,'[1]Lists and Calcs (Hidden)'!$AB$34:$AB$732,0))="","",
                                    INDEX('[1]5. Assess Risks'!$J$6:$J$704,MATCH('[1]Lists and Calcs (Hidden)'!AJ102,'[1]Lists and Calcs (Hidden)'!$AB$34:$AB$732,0))
))</f>
        <v/>
      </c>
      <c r="T78" s="102"/>
      <c r="U78" s="105"/>
      <c r="V78" s="106"/>
      <c r="W78" s="105"/>
      <c r="X78" s="105"/>
      <c r="Y78" s="98" t="str">
        <f>IF('[1]Lists and Calcs (Hidden)'!AJ102="","",
                    IF(INDEX('[1]5. Assess Risks'!$L$6:$L$704,MATCH('[1]Lists and Calcs (Hidden)'!AJ102,'[1]Lists and Calcs (Hidden)'!$AB$34:$AB$732,0))="","",
                                    INDEX('[1]5. Assess Risks'!$L$6:$L$704,MATCH('[1]Lists and Calcs (Hidden)'!AJ102,'[1]Lists and Calcs (Hidden)'!$AB$34:$AB$732,0))
))</f>
        <v/>
      </c>
      <c r="Z78" s="95"/>
      <c r="AA78" s="96"/>
      <c r="AB78" s="85"/>
      <c r="AC78" s="86"/>
      <c r="AD78" s="87" t="str">
        <f>IFERROR(IF('[1]2. Prepare'!$O$50="Quantitative",INDEX('[1]Lists and Calcs (Hidden)'!$M$12:$Q$16,MATCH('[1]6. Risk Register Integration'!AB78,'[1]Lists and Calcs (Hidden)'!$K$12:$K$16,0),MATCH('[1]6. Risk Register Integration'!AC78,'[1]Lists and Calcs (Hidden)'!$M$10:$Q$10,0)),INDEX('[1]Lists and Calcs (Hidden)'!$Z$12:$AD$16,MATCH('[1]6. Risk Register Integration'!AB78,'[1]Lists and Calcs (Hidden)'!$X$12:$X$16,0),MATCH('[1]6. Risk Register Integration'!AC78,'[1]Lists and Calcs (Hidden)'!$Z$10:$AD$10,0))),"")</f>
        <v/>
      </c>
      <c r="AE78" s="54"/>
      <c r="AF78" s="4"/>
      <c r="AG78" s="4"/>
    </row>
    <row r="79" spans="2:33" ht="330" customHeight="1" x14ac:dyDescent="0.2">
      <c r="B79" s="108"/>
      <c r="C79" s="89" t="str">
        <f>IF('[1]Lists and Calcs (Hidden)'!AJ103="","",
                    IF(INDEX('[1]5. Assess Risks'!$B$6:$B$704,MATCH('[1]Lists and Calcs (Hidden)'!AJ103,'[1]Lists and Calcs (Hidden)'!$AB$34:$AB$732,0))="","",
                                    INDEX('[1]5. Assess Risks'!$B$6:$B$704,MATCH('[1]Lists and Calcs (Hidden)'!AJ103,'[1]Lists and Calcs (Hidden)'!$AB$34:$AB$732,0))
))</f>
        <v/>
      </c>
      <c r="D79" s="90" t="str">
        <f>IF(C79="", "", '[1]2. Prepare'!$E$6)</f>
        <v/>
      </c>
      <c r="E79" s="91"/>
      <c r="F79" s="91"/>
      <c r="G79" s="91"/>
      <c r="H79" s="91"/>
      <c r="I79" s="89" t="str">
        <f>IF('[1]Lists and Calcs (Hidden)'!AJ103="","",
                    IF(INDEX('[1]5. Assess Risks'!$D$6:$D$704,MATCH('[1]Lists and Calcs (Hidden)'!AJ103,'[1]Lists and Calcs (Hidden)'!$AB$34:$AB$732,0))="","",
                                    INDEX('[1]5. Assess Risks'!$D$6:$D$704,MATCH('[1]Lists and Calcs (Hidden)'!AJ103,'[1]Lists and Calcs (Hidden)'!$AB$34:$AB$732,0))
))</f>
        <v/>
      </c>
      <c r="J79" s="91"/>
      <c r="K79" s="91"/>
      <c r="L79" s="91"/>
      <c r="M79" s="91"/>
      <c r="N79" s="91"/>
      <c r="O79" s="91"/>
      <c r="P79" s="92" t="str">
        <f>IF('[1]Lists and Calcs (Hidden)'!AJ103="","",
                    IF(INDEX('[1]5. Assess Risks'!$G$6:$G$704,MATCH('[1]Lists and Calcs (Hidden)'!AJ103,'[1]Lists and Calcs (Hidden)'!$AB$34:$AB$732,0))="","",
                                    INDEX('[1]5. Assess Risks'!$G$6:$G$704,MATCH('[1]Lists and Calcs (Hidden)'!AJ103,'[1]Lists and Calcs (Hidden)'!$AB$34:$AB$732,0))
))</f>
        <v/>
      </c>
      <c r="Q79" s="92" t="str">
        <f>IF('[1]Lists and Calcs (Hidden)'!AJ103="","",
                    IF(INDEX('[1]5. Assess Risks'!$H$6:$H$704,MATCH('[1]Lists and Calcs (Hidden)'!AJ103,'[1]Lists and Calcs (Hidden)'!$AB$34:$AB$732,0))="","",
                                    INDEX('[1]5. Assess Risks'!$H$6:$H$704,MATCH('[1]Lists and Calcs (Hidden)'!AJ103,'[1]Lists and Calcs (Hidden)'!$AB$34:$AB$732,0))
))</f>
        <v/>
      </c>
      <c r="R79" s="93" t="str">
        <f>IFERROR(IF('[1]2. Prepare'!$O$50="Quantitative",INDEX('[1]Lists and Calcs (Hidden)'!$M$12:$Q$16,MATCH('[1]6. Risk Register Integration'!P79,'[1]Lists and Calcs (Hidden)'!$K$12:$K$16,0),MATCH('[1]6. Risk Register Integration'!Q79,'[1]Lists and Calcs (Hidden)'!$M$10:$Q$10,0)),INDEX('[1]Lists and Calcs (Hidden)'!$Z$12:$AD$16,MATCH('[1]6. Risk Register Integration'!P79,'[1]Lists and Calcs (Hidden)'!$X$12:$X$16,0),MATCH('[1]6. Risk Register Integration'!Q79,'[1]Lists and Calcs (Hidden)'!$Z$10:$AD$10,0))),"")</f>
        <v/>
      </c>
      <c r="S79" s="94" t="str">
        <f>IF('[1]Lists and Calcs (Hidden)'!AJ103="","",
                    IF(INDEX('[1]5. Assess Risks'!$J$6:$J$704,MATCH('[1]Lists and Calcs (Hidden)'!AJ103,'[1]Lists and Calcs (Hidden)'!$AB$34:$AB$732,0))="","",
                                    INDEX('[1]5. Assess Risks'!$J$6:$J$704,MATCH('[1]Lists and Calcs (Hidden)'!AJ103,'[1]Lists and Calcs (Hidden)'!$AB$34:$AB$732,0))
))</f>
        <v/>
      </c>
      <c r="T79" s="102"/>
      <c r="U79" s="105"/>
      <c r="V79" s="106"/>
      <c r="W79" s="105"/>
      <c r="X79" s="105"/>
      <c r="Y79" s="89" t="str">
        <f>IF('[1]Lists and Calcs (Hidden)'!AJ103="","",
                    IF(INDEX('[1]5. Assess Risks'!$L$6:$L$704,MATCH('[1]Lists and Calcs (Hidden)'!AJ103,'[1]Lists and Calcs (Hidden)'!$AB$34:$AB$732,0))="","",
                                    INDEX('[1]5. Assess Risks'!$L$6:$L$704,MATCH('[1]Lists and Calcs (Hidden)'!AJ103,'[1]Lists and Calcs (Hidden)'!$AB$34:$AB$732,0))
))</f>
        <v/>
      </c>
      <c r="Z79" s="95"/>
      <c r="AA79" s="96"/>
      <c r="AB79" s="85"/>
      <c r="AC79" s="86"/>
      <c r="AD79" s="87" t="str">
        <f>IFERROR(IF('[1]2. Prepare'!$O$50="Quantitative",INDEX('[1]Lists and Calcs (Hidden)'!$M$12:$Q$16,MATCH('[1]6. Risk Register Integration'!AB79,'[1]Lists and Calcs (Hidden)'!$K$12:$K$16,0),MATCH('[1]6. Risk Register Integration'!AC79,'[1]Lists and Calcs (Hidden)'!$M$10:$Q$10,0)),INDEX('[1]Lists and Calcs (Hidden)'!$Z$12:$AD$16,MATCH('[1]6. Risk Register Integration'!AB79,'[1]Lists and Calcs (Hidden)'!$X$12:$X$16,0),MATCH('[1]6. Risk Register Integration'!AC79,'[1]Lists and Calcs (Hidden)'!$Z$10:$AD$10,0))),"")</f>
        <v/>
      </c>
      <c r="AE79" s="54"/>
      <c r="AF79" s="4"/>
      <c r="AG79" s="4"/>
    </row>
    <row r="80" spans="2:33" ht="330" customHeight="1" x14ac:dyDescent="0.2">
      <c r="B80" s="107"/>
      <c r="C80" s="98" t="str">
        <f>IF('[1]Lists and Calcs (Hidden)'!AJ104="","",
                    IF(INDEX('[1]5. Assess Risks'!$B$6:$B$704,MATCH('[1]Lists and Calcs (Hidden)'!AJ104,'[1]Lists and Calcs (Hidden)'!$AB$34:$AB$732,0))="","",
                                    INDEX('[1]5. Assess Risks'!$B$6:$B$704,MATCH('[1]Lists and Calcs (Hidden)'!AJ104,'[1]Lists and Calcs (Hidden)'!$AB$34:$AB$732,0))
))</f>
        <v/>
      </c>
      <c r="D80" s="90" t="str">
        <f>IF(C80="", "", '[1]2. Prepare'!$E$6)</f>
        <v/>
      </c>
      <c r="E80" s="91"/>
      <c r="F80" s="91"/>
      <c r="G80" s="91"/>
      <c r="H80" s="91"/>
      <c r="I80" s="98" t="str">
        <f>IF('[1]Lists and Calcs (Hidden)'!AJ104="","",
                    IF(INDEX('[1]5. Assess Risks'!$D$6:$D$704,MATCH('[1]Lists and Calcs (Hidden)'!AJ104,'[1]Lists and Calcs (Hidden)'!$AB$34:$AB$732,0))="","",
                                    INDEX('[1]5. Assess Risks'!$D$6:$D$704,MATCH('[1]Lists and Calcs (Hidden)'!AJ104,'[1]Lists and Calcs (Hidden)'!$AB$34:$AB$732,0))
))</f>
        <v/>
      </c>
      <c r="J80" s="91"/>
      <c r="K80" s="91"/>
      <c r="L80" s="91"/>
      <c r="M80" s="91"/>
      <c r="N80" s="91"/>
      <c r="O80" s="91"/>
      <c r="P80" s="99" t="str">
        <f>IF('[1]Lists and Calcs (Hidden)'!AJ104="","",
                    IF(INDEX('[1]5. Assess Risks'!$G$6:$G$704,MATCH('[1]Lists and Calcs (Hidden)'!AJ104,'[1]Lists and Calcs (Hidden)'!$AB$34:$AB$732,0))="","",
                                    INDEX('[1]5. Assess Risks'!$G$6:$G$704,MATCH('[1]Lists and Calcs (Hidden)'!AJ104,'[1]Lists and Calcs (Hidden)'!$AB$34:$AB$732,0))
))</f>
        <v/>
      </c>
      <c r="Q80" s="99" t="str">
        <f>IF('[1]Lists and Calcs (Hidden)'!AJ104="","",
                    IF(INDEX('[1]5. Assess Risks'!$H$6:$H$704,MATCH('[1]Lists and Calcs (Hidden)'!AJ104,'[1]Lists and Calcs (Hidden)'!$AB$34:$AB$732,0))="","",
                                    INDEX('[1]5. Assess Risks'!$H$6:$H$704,MATCH('[1]Lists and Calcs (Hidden)'!AJ104,'[1]Lists and Calcs (Hidden)'!$AB$34:$AB$732,0))
))</f>
        <v/>
      </c>
      <c r="R80" s="100" t="str">
        <f>IFERROR(IF('[1]2. Prepare'!$O$50="Quantitative",INDEX('[1]Lists and Calcs (Hidden)'!$M$12:$Q$16,MATCH('[1]6. Risk Register Integration'!P80,'[1]Lists and Calcs (Hidden)'!$K$12:$K$16,0),MATCH('[1]6. Risk Register Integration'!Q80,'[1]Lists and Calcs (Hidden)'!$M$10:$Q$10,0)),INDEX('[1]Lists and Calcs (Hidden)'!$Z$12:$AD$16,MATCH('[1]6. Risk Register Integration'!P80,'[1]Lists and Calcs (Hidden)'!$X$12:$X$16,0),MATCH('[1]6. Risk Register Integration'!Q80,'[1]Lists and Calcs (Hidden)'!$Z$10:$AD$10,0))),"")</f>
        <v/>
      </c>
      <c r="S80" s="101" t="str">
        <f>IF('[1]Lists and Calcs (Hidden)'!AJ104="","",
                    IF(INDEX('[1]5. Assess Risks'!$J$6:$J$704,MATCH('[1]Lists and Calcs (Hidden)'!AJ104,'[1]Lists and Calcs (Hidden)'!$AB$34:$AB$732,0))="","",
                                    INDEX('[1]5. Assess Risks'!$J$6:$J$704,MATCH('[1]Lists and Calcs (Hidden)'!AJ104,'[1]Lists and Calcs (Hidden)'!$AB$34:$AB$732,0))
))</f>
        <v/>
      </c>
      <c r="T80" s="102"/>
      <c r="U80" s="105"/>
      <c r="V80" s="106"/>
      <c r="W80" s="105"/>
      <c r="X80" s="105"/>
      <c r="Y80" s="98" t="str">
        <f>IF('[1]Lists and Calcs (Hidden)'!AJ104="","",
                    IF(INDEX('[1]5. Assess Risks'!$L$6:$L$704,MATCH('[1]Lists and Calcs (Hidden)'!AJ104,'[1]Lists and Calcs (Hidden)'!$AB$34:$AB$732,0))="","",
                                    INDEX('[1]5. Assess Risks'!$L$6:$L$704,MATCH('[1]Lists and Calcs (Hidden)'!AJ104,'[1]Lists and Calcs (Hidden)'!$AB$34:$AB$732,0))
))</f>
        <v/>
      </c>
      <c r="Z80" s="95"/>
      <c r="AA80" s="96"/>
      <c r="AB80" s="85"/>
      <c r="AC80" s="86"/>
      <c r="AD80" s="87" t="str">
        <f>IFERROR(IF('[1]2. Prepare'!$O$50="Quantitative",INDEX('[1]Lists and Calcs (Hidden)'!$M$12:$Q$16,MATCH('[1]6. Risk Register Integration'!AB80,'[1]Lists and Calcs (Hidden)'!$K$12:$K$16,0),MATCH('[1]6. Risk Register Integration'!AC80,'[1]Lists and Calcs (Hidden)'!$M$10:$Q$10,0)),INDEX('[1]Lists and Calcs (Hidden)'!$Z$12:$AD$16,MATCH('[1]6. Risk Register Integration'!AB80,'[1]Lists and Calcs (Hidden)'!$X$12:$X$16,0),MATCH('[1]6. Risk Register Integration'!AC80,'[1]Lists and Calcs (Hidden)'!$Z$10:$AD$10,0))),"")</f>
        <v/>
      </c>
      <c r="AE80" s="54"/>
      <c r="AF80" s="4"/>
      <c r="AG80" s="4"/>
    </row>
    <row r="81" spans="2:33" ht="330" customHeight="1" x14ac:dyDescent="0.2">
      <c r="B81" s="107"/>
      <c r="C81" s="89" t="str">
        <f>IF('[1]Lists and Calcs (Hidden)'!AJ105="","",
                    IF(INDEX('[1]5. Assess Risks'!$B$6:$B$704,MATCH('[1]Lists and Calcs (Hidden)'!AJ105,'[1]Lists and Calcs (Hidden)'!$AB$34:$AB$732,0))="","",
                                    INDEX('[1]5. Assess Risks'!$B$6:$B$704,MATCH('[1]Lists and Calcs (Hidden)'!AJ105,'[1]Lists and Calcs (Hidden)'!$AB$34:$AB$732,0))
))</f>
        <v/>
      </c>
      <c r="D81" s="90" t="str">
        <f>IF(C81="", "", '[1]2. Prepare'!$E$6)</f>
        <v/>
      </c>
      <c r="E81" s="91"/>
      <c r="F81" s="91"/>
      <c r="G81" s="91"/>
      <c r="H81" s="91"/>
      <c r="I81" s="89" t="str">
        <f>IF('[1]Lists and Calcs (Hidden)'!AJ105="","",
                    IF(INDEX('[1]5. Assess Risks'!$D$6:$D$704,MATCH('[1]Lists and Calcs (Hidden)'!AJ105,'[1]Lists and Calcs (Hidden)'!$AB$34:$AB$732,0))="","",
                                    INDEX('[1]5. Assess Risks'!$D$6:$D$704,MATCH('[1]Lists and Calcs (Hidden)'!AJ105,'[1]Lists and Calcs (Hidden)'!$AB$34:$AB$732,0))
))</f>
        <v/>
      </c>
      <c r="J81" s="91"/>
      <c r="K81" s="91"/>
      <c r="L81" s="91"/>
      <c r="M81" s="91"/>
      <c r="N81" s="91"/>
      <c r="O81" s="91"/>
      <c r="P81" s="92" t="str">
        <f>IF('[1]Lists and Calcs (Hidden)'!AJ105="","",
                    IF(INDEX('[1]5. Assess Risks'!$G$6:$G$704,MATCH('[1]Lists and Calcs (Hidden)'!AJ105,'[1]Lists and Calcs (Hidden)'!$AB$34:$AB$732,0))="","",
                                    INDEX('[1]5. Assess Risks'!$G$6:$G$704,MATCH('[1]Lists and Calcs (Hidden)'!AJ105,'[1]Lists and Calcs (Hidden)'!$AB$34:$AB$732,0))
))</f>
        <v/>
      </c>
      <c r="Q81" s="92" t="str">
        <f>IF('[1]Lists and Calcs (Hidden)'!AJ105="","",
                    IF(INDEX('[1]5. Assess Risks'!$H$6:$H$704,MATCH('[1]Lists and Calcs (Hidden)'!AJ105,'[1]Lists and Calcs (Hidden)'!$AB$34:$AB$732,0))="","",
                                    INDEX('[1]5. Assess Risks'!$H$6:$H$704,MATCH('[1]Lists and Calcs (Hidden)'!AJ105,'[1]Lists and Calcs (Hidden)'!$AB$34:$AB$732,0))
))</f>
        <v/>
      </c>
      <c r="R81" s="93" t="str">
        <f>IFERROR(IF('[1]2. Prepare'!$O$50="Quantitative",INDEX('[1]Lists and Calcs (Hidden)'!$M$12:$Q$16,MATCH('[1]6. Risk Register Integration'!P81,'[1]Lists and Calcs (Hidden)'!$K$12:$K$16,0),MATCH('[1]6. Risk Register Integration'!Q81,'[1]Lists and Calcs (Hidden)'!$M$10:$Q$10,0)),INDEX('[1]Lists and Calcs (Hidden)'!$Z$12:$AD$16,MATCH('[1]6. Risk Register Integration'!P81,'[1]Lists and Calcs (Hidden)'!$X$12:$X$16,0),MATCH('[1]6. Risk Register Integration'!Q81,'[1]Lists and Calcs (Hidden)'!$Z$10:$AD$10,0))),"")</f>
        <v/>
      </c>
      <c r="S81" s="94" t="str">
        <f>IF('[1]Lists and Calcs (Hidden)'!AJ105="","",
                    IF(INDEX('[1]5. Assess Risks'!$J$6:$J$704,MATCH('[1]Lists and Calcs (Hidden)'!AJ105,'[1]Lists and Calcs (Hidden)'!$AB$34:$AB$732,0))="","",
                                    INDEX('[1]5. Assess Risks'!$J$6:$J$704,MATCH('[1]Lists and Calcs (Hidden)'!AJ105,'[1]Lists and Calcs (Hidden)'!$AB$34:$AB$732,0))
))</f>
        <v/>
      </c>
      <c r="T81" s="102"/>
      <c r="U81" s="105"/>
      <c r="V81" s="106"/>
      <c r="W81" s="105"/>
      <c r="X81" s="105"/>
      <c r="Y81" s="89" t="str">
        <f>IF('[1]Lists and Calcs (Hidden)'!AJ105="","",
                    IF(INDEX('[1]5. Assess Risks'!$L$6:$L$704,MATCH('[1]Lists and Calcs (Hidden)'!AJ105,'[1]Lists and Calcs (Hidden)'!$AB$34:$AB$732,0))="","",
                                    INDEX('[1]5. Assess Risks'!$L$6:$L$704,MATCH('[1]Lists and Calcs (Hidden)'!AJ105,'[1]Lists and Calcs (Hidden)'!$AB$34:$AB$732,0))
))</f>
        <v/>
      </c>
      <c r="Z81" s="95"/>
      <c r="AA81" s="96"/>
      <c r="AB81" s="85"/>
      <c r="AC81" s="86"/>
      <c r="AD81" s="87" t="str">
        <f>IFERROR(IF('[1]2. Prepare'!$O$50="Quantitative",INDEX('[1]Lists and Calcs (Hidden)'!$M$12:$Q$16,MATCH('[1]6. Risk Register Integration'!AB81,'[1]Lists and Calcs (Hidden)'!$K$12:$K$16,0),MATCH('[1]6. Risk Register Integration'!AC81,'[1]Lists and Calcs (Hidden)'!$M$10:$Q$10,0)),INDEX('[1]Lists and Calcs (Hidden)'!$Z$12:$AD$16,MATCH('[1]6. Risk Register Integration'!AB81,'[1]Lists and Calcs (Hidden)'!$X$12:$X$16,0),MATCH('[1]6. Risk Register Integration'!AC81,'[1]Lists and Calcs (Hidden)'!$Z$10:$AD$10,0))),"")</f>
        <v/>
      </c>
      <c r="AE81" s="54"/>
      <c r="AF81" s="4"/>
      <c r="AG81" s="4"/>
    </row>
    <row r="82" spans="2:33" ht="330" customHeight="1" x14ac:dyDescent="0.2">
      <c r="B82" s="108"/>
      <c r="C82" s="98" t="str">
        <f>IF('[1]Lists and Calcs (Hidden)'!AJ106="","",
                    IF(INDEX('[1]5. Assess Risks'!$B$6:$B$704,MATCH('[1]Lists and Calcs (Hidden)'!AJ106,'[1]Lists and Calcs (Hidden)'!$AB$34:$AB$732,0))="","",
                                    INDEX('[1]5. Assess Risks'!$B$6:$B$704,MATCH('[1]Lists and Calcs (Hidden)'!AJ106,'[1]Lists and Calcs (Hidden)'!$AB$34:$AB$732,0))
))</f>
        <v/>
      </c>
      <c r="D82" s="90" t="str">
        <f>IF(C82="", "", '[1]2. Prepare'!$E$6)</f>
        <v/>
      </c>
      <c r="E82" s="91"/>
      <c r="F82" s="91"/>
      <c r="G82" s="91"/>
      <c r="H82" s="91"/>
      <c r="I82" s="98" t="str">
        <f>IF('[1]Lists and Calcs (Hidden)'!AJ106="","",
                    IF(INDEX('[1]5. Assess Risks'!$D$6:$D$704,MATCH('[1]Lists and Calcs (Hidden)'!AJ106,'[1]Lists and Calcs (Hidden)'!$AB$34:$AB$732,0))="","",
                                    INDEX('[1]5. Assess Risks'!$D$6:$D$704,MATCH('[1]Lists and Calcs (Hidden)'!AJ106,'[1]Lists and Calcs (Hidden)'!$AB$34:$AB$732,0))
))</f>
        <v/>
      </c>
      <c r="J82" s="91"/>
      <c r="K82" s="91"/>
      <c r="L82" s="91"/>
      <c r="M82" s="91"/>
      <c r="N82" s="91"/>
      <c r="O82" s="91"/>
      <c r="P82" s="99" t="str">
        <f>IF('[1]Lists and Calcs (Hidden)'!AJ106="","",
                    IF(INDEX('[1]5. Assess Risks'!$G$6:$G$704,MATCH('[1]Lists and Calcs (Hidden)'!AJ106,'[1]Lists and Calcs (Hidden)'!$AB$34:$AB$732,0))="","",
                                    INDEX('[1]5. Assess Risks'!$G$6:$G$704,MATCH('[1]Lists and Calcs (Hidden)'!AJ106,'[1]Lists and Calcs (Hidden)'!$AB$34:$AB$732,0))
))</f>
        <v/>
      </c>
      <c r="Q82" s="99" t="str">
        <f>IF('[1]Lists and Calcs (Hidden)'!AJ106="","",
                    IF(INDEX('[1]5. Assess Risks'!$H$6:$H$704,MATCH('[1]Lists and Calcs (Hidden)'!AJ106,'[1]Lists and Calcs (Hidden)'!$AB$34:$AB$732,0))="","",
                                    INDEX('[1]5. Assess Risks'!$H$6:$H$704,MATCH('[1]Lists and Calcs (Hidden)'!AJ106,'[1]Lists and Calcs (Hidden)'!$AB$34:$AB$732,0))
))</f>
        <v/>
      </c>
      <c r="R82" s="100" t="str">
        <f>IFERROR(IF('[1]2. Prepare'!$O$50="Quantitative",INDEX('[1]Lists and Calcs (Hidden)'!$M$12:$Q$16,MATCH('[1]6. Risk Register Integration'!P82,'[1]Lists and Calcs (Hidden)'!$K$12:$K$16,0),MATCH('[1]6. Risk Register Integration'!Q82,'[1]Lists and Calcs (Hidden)'!$M$10:$Q$10,0)),INDEX('[1]Lists and Calcs (Hidden)'!$Z$12:$AD$16,MATCH('[1]6. Risk Register Integration'!P82,'[1]Lists and Calcs (Hidden)'!$X$12:$X$16,0),MATCH('[1]6. Risk Register Integration'!Q82,'[1]Lists and Calcs (Hidden)'!$Z$10:$AD$10,0))),"")</f>
        <v/>
      </c>
      <c r="S82" s="101" t="str">
        <f>IF('[1]Lists and Calcs (Hidden)'!AJ106="","",
                    IF(INDEX('[1]5. Assess Risks'!$J$6:$J$704,MATCH('[1]Lists and Calcs (Hidden)'!AJ106,'[1]Lists and Calcs (Hidden)'!$AB$34:$AB$732,0))="","",
                                    INDEX('[1]5. Assess Risks'!$J$6:$J$704,MATCH('[1]Lists and Calcs (Hidden)'!AJ106,'[1]Lists and Calcs (Hidden)'!$AB$34:$AB$732,0))
))</f>
        <v/>
      </c>
      <c r="T82" s="102"/>
      <c r="U82" s="105"/>
      <c r="V82" s="106"/>
      <c r="W82" s="105"/>
      <c r="X82" s="105"/>
      <c r="Y82" s="98" t="str">
        <f>IF('[1]Lists and Calcs (Hidden)'!AJ106="","",
                    IF(INDEX('[1]5. Assess Risks'!$L$6:$L$704,MATCH('[1]Lists and Calcs (Hidden)'!AJ106,'[1]Lists and Calcs (Hidden)'!$AB$34:$AB$732,0))="","",
                                    INDEX('[1]5. Assess Risks'!$L$6:$L$704,MATCH('[1]Lists and Calcs (Hidden)'!AJ106,'[1]Lists and Calcs (Hidden)'!$AB$34:$AB$732,0))
))</f>
        <v/>
      </c>
      <c r="Z82" s="95"/>
      <c r="AA82" s="96"/>
      <c r="AB82" s="85"/>
      <c r="AC82" s="86"/>
      <c r="AD82" s="87" t="str">
        <f>IFERROR(IF('[1]2. Prepare'!$O$50="Quantitative",INDEX('[1]Lists and Calcs (Hidden)'!$M$12:$Q$16,MATCH('[1]6. Risk Register Integration'!AB82,'[1]Lists and Calcs (Hidden)'!$K$12:$K$16,0),MATCH('[1]6. Risk Register Integration'!AC82,'[1]Lists and Calcs (Hidden)'!$M$10:$Q$10,0)),INDEX('[1]Lists and Calcs (Hidden)'!$Z$12:$AD$16,MATCH('[1]6. Risk Register Integration'!AB82,'[1]Lists and Calcs (Hidden)'!$X$12:$X$16,0),MATCH('[1]6. Risk Register Integration'!AC82,'[1]Lists and Calcs (Hidden)'!$Z$10:$AD$10,0))),"")</f>
        <v/>
      </c>
      <c r="AE82" s="54"/>
      <c r="AF82" s="4"/>
      <c r="AG82" s="4"/>
    </row>
    <row r="83" spans="2:33" ht="330" customHeight="1" x14ac:dyDescent="0.2">
      <c r="B83" s="108"/>
      <c r="C83" s="89" t="str">
        <f>IF('[1]Lists and Calcs (Hidden)'!AJ107="","",
                    IF(INDEX('[1]5. Assess Risks'!$B$6:$B$704,MATCH('[1]Lists and Calcs (Hidden)'!AJ107,'[1]Lists and Calcs (Hidden)'!$AB$34:$AB$732,0))="","",
                                    INDEX('[1]5. Assess Risks'!$B$6:$B$704,MATCH('[1]Lists and Calcs (Hidden)'!AJ107,'[1]Lists and Calcs (Hidden)'!$AB$34:$AB$732,0))
))</f>
        <v/>
      </c>
      <c r="D83" s="90" t="str">
        <f>IF(C83="", "", '[1]2. Prepare'!$E$6)</f>
        <v/>
      </c>
      <c r="E83" s="91"/>
      <c r="F83" s="91"/>
      <c r="G83" s="91"/>
      <c r="H83" s="91"/>
      <c r="I83" s="89" t="str">
        <f>IF('[1]Lists and Calcs (Hidden)'!AJ107="","",
                    IF(INDEX('[1]5. Assess Risks'!$D$6:$D$704,MATCH('[1]Lists and Calcs (Hidden)'!AJ107,'[1]Lists and Calcs (Hidden)'!$AB$34:$AB$732,0))="","",
                                    INDEX('[1]5. Assess Risks'!$D$6:$D$704,MATCH('[1]Lists and Calcs (Hidden)'!AJ107,'[1]Lists and Calcs (Hidden)'!$AB$34:$AB$732,0))
))</f>
        <v/>
      </c>
      <c r="J83" s="91"/>
      <c r="K83" s="91"/>
      <c r="L83" s="91"/>
      <c r="M83" s="91"/>
      <c r="N83" s="91"/>
      <c r="O83" s="91"/>
      <c r="P83" s="92" t="str">
        <f>IF('[1]Lists and Calcs (Hidden)'!AJ107="","",
                    IF(INDEX('[1]5. Assess Risks'!$G$6:$G$704,MATCH('[1]Lists and Calcs (Hidden)'!AJ107,'[1]Lists and Calcs (Hidden)'!$AB$34:$AB$732,0))="","",
                                    INDEX('[1]5. Assess Risks'!$G$6:$G$704,MATCH('[1]Lists and Calcs (Hidden)'!AJ107,'[1]Lists and Calcs (Hidden)'!$AB$34:$AB$732,0))
))</f>
        <v/>
      </c>
      <c r="Q83" s="92" t="str">
        <f>IF('[1]Lists and Calcs (Hidden)'!AJ107="","",
                    IF(INDEX('[1]5. Assess Risks'!$H$6:$H$704,MATCH('[1]Lists and Calcs (Hidden)'!AJ107,'[1]Lists and Calcs (Hidden)'!$AB$34:$AB$732,0))="","",
                                    INDEX('[1]5. Assess Risks'!$H$6:$H$704,MATCH('[1]Lists and Calcs (Hidden)'!AJ107,'[1]Lists and Calcs (Hidden)'!$AB$34:$AB$732,0))
))</f>
        <v/>
      </c>
      <c r="R83" s="93" t="str">
        <f>IFERROR(IF('[1]2. Prepare'!$O$50="Quantitative",INDEX('[1]Lists and Calcs (Hidden)'!$M$12:$Q$16,MATCH('[1]6. Risk Register Integration'!P83,'[1]Lists and Calcs (Hidden)'!$K$12:$K$16,0),MATCH('[1]6. Risk Register Integration'!Q83,'[1]Lists and Calcs (Hidden)'!$M$10:$Q$10,0)),INDEX('[1]Lists and Calcs (Hidden)'!$Z$12:$AD$16,MATCH('[1]6. Risk Register Integration'!P83,'[1]Lists and Calcs (Hidden)'!$X$12:$X$16,0),MATCH('[1]6. Risk Register Integration'!Q83,'[1]Lists and Calcs (Hidden)'!$Z$10:$AD$10,0))),"")</f>
        <v/>
      </c>
      <c r="S83" s="94" t="str">
        <f>IF('[1]Lists and Calcs (Hidden)'!AJ107="","",
                    IF(INDEX('[1]5. Assess Risks'!$J$6:$J$704,MATCH('[1]Lists and Calcs (Hidden)'!AJ107,'[1]Lists and Calcs (Hidden)'!$AB$34:$AB$732,0))="","",
                                    INDEX('[1]5. Assess Risks'!$J$6:$J$704,MATCH('[1]Lists and Calcs (Hidden)'!AJ107,'[1]Lists and Calcs (Hidden)'!$AB$34:$AB$732,0))
))</f>
        <v/>
      </c>
      <c r="T83" s="102"/>
      <c r="U83" s="105"/>
      <c r="V83" s="106"/>
      <c r="W83" s="105"/>
      <c r="X83" s="105"/>
      <c r="Y83" s="89" t="str">
        <f>IF('[1]Lists and Calcs (Hidden)'!AJ107="","",
                    IF(INDEX('[1]5. Assess Risks'!$L$6:$L$704,MATCH('[1]Lists and Calcs (Hidden)'!AJ107,'[1]Lists and Calcs (Hidden)'!$AB$34:$AB$732,0))="","",
                                    INDEX('[1]5. Assess Risks'!$L$6:$L$704,MATCH('[1]Lists and Calcs (Hidden)'!AJ107,'[1]Lists and Calcs (Hidden)'!$AB$34:$AB$732,0))
))</f>
        <v/>
      </c>
      <c r="Z83" s="95"/>
      <c r="AA83" s="96"/>
      <c r="AB83" s="85"/>
      <c r="AC83" s="86"/>
      <c r="AD83" s="87" t="str">
        <f>IFERROR(IF('[1]2. Prepare'!$O$50="Quantitative",INDEX('[1]Lists and Calcs (Hidden)'!$M$12:$Q$16,MATCH('[1]6. Risk Register Integration'!AB83,'[1]Lists and Calcs (Hidden)'!$K$12:$K$16,0),MATCH('[1]6. Risk Register Integration'!AC83,'[1]Lists and Calcs (Hidden)'!$M$10:$Q$10,0)),INDEX('[1]Lists and Calcs (Hidden)'!$Z$12:$AD$16,MATCH('[1]6. Risk Register Integration'!AB83,'[1]Lists and Calcs (Hidden)'!$X$12:$X$16,0),MATCH('[1]6. Risk Register Integration'!AC83,'[1]Lists and Calcs (Hidden)'!$Z$10:$AD$10,0))),"")</f>
        <v/>
      </c>
      <c r="AE83" s="54"/>
      <c r="AF83" s="4"/>
      <c r="AG83" s="4"/>
    </row>
    <row r="84" spans="2:33" ht="330" customHeight="1" x14ac:dyDescent="0.2">
      <c r="B84" s="107"/>
      <c r="C84" s="98" t="str">
        <f>IF('[1]Lists and Calcs (Hidden)'!AJ108="","",
                    IF(INDEX('[1]5. Assess Risks'!$B$6:$B$704,MATCH('[1]Lists and Calcs (Hidden)'!AJ108,'[1]Lists and Calcs (Hidden)'!$AB$34:$AB$732,0))="","",
                                    INDEX('[1]5. Assess Risks'!$B$6:$B$704,MATCH('[1]Lists and Calcs (Hidden)'!AJ108,'[1]Lists and Calcs (Hidden)'!$AB$34:$AB$732,0))
))</f>
        <v/>
      </c>
      <c r="D84" s="90" t="str">
        <f>IF(C84="", "", '[1]2. Prepare'!$E$6)</f>
        <v/>
      </c>
      <c r="E84" s="91"/>
      <c r="F84" s="91"/>
      <c r="G84" s="91"/>
      <c r="H84" s="91"/>
      <c r="I84" s="98" t="str">
        <f>IF('[1]Lists and Calcs (Hidden)'!AJ108="","",
                    IF(INDEX('[1]5. Assess Risks'!$D$6:$D$704,MATCH('[1]Lists and Calcs (Hidden)'!AJ108,'[1]Lists and Calcs (Hidden)'!$AB$34:$AB$732,0))="","",
                                    INDEX('[1]5. Assess Risks'!$D$6:$D$704,MATCH('[1]Lists and Calcs (Hidden)'!AJ108,'[1]Lists and Calcs (Hidden)'!$AB$34:$AB$732,0))
))</f>
        <v/>
      </c>
      <c r="J84" s="91"/>
      <c r="K84" s="91"/>
      <c r="L84" s="91"/>
      <c r="M84" s="91"/>
      <c r="N84" s="91"/>
      <c r="O84" s="91"/>
      <c r="P84" s="99" t="str">
        <f>IF('[1]Lists and Calcs (Hidden)'!AJ108="","",
                    IF(INDEX('[1]5. Assess Risks'!$G$6:$G$704,MATCH('[1]Lists and Calcs (Hidden)'!AJ108,'[1]Lists and Calcs (Hidden)'!$AB$34:$AB$732,0))="","",
                                    INDEX('[1]5. Assess Risks'!$G$6:$G$704,MATCH('[1]Lists and Calcs (Hidden)'!AJ108,'[1]Lists and Calcs (Hidden)'!$AB$34:$AB$732,0))
))</f>
        <v/>
      </c>
      <c r="Q84" s="99" t="str">
        <f>IF('[1]Lists and Calcs (Hidden)'!AJ108="","",
                    IF(INDEX('[1]5. Assess Risks'!$H$6:$H$704,MATCH('[1]Lists and Calcs (Hidden)'!AJ108,'[1]Lists and Calcs (Hidden)'!$AB$34:$AB$732,0))="","",
                                    INDEX('[1]5. Assess Risks'!$H$6:$H$704,MATCH('[1]Lists and Calcs (Hidden)'!AJ108,'[1]Lists and Calcs (Hidden)'!$AB$34:$AB$732,0))
))</f>
        <v/>
      </c>
      <c r="R84" s="100" t="str">
        <f>IFERROR(IF('[1]2. Prepare'!$O$50="Quantitative",INDEX('[1]Lists and Calcs (Hidden)'!$M$12:$Q$16,MATCH('[1]6. Risk Register Integration'!P84,'[1]Lists and Calcs (Hidden)'!$K$12:$K$16,0),MATCH('[1]6. Risk Register Integration'!Q84,'[1]Lists and Calcs (Hidden)'!$M$10:$Q$10,0)),INDEX('[1]Lists and Calcs (Hidden)'!$Z$12:$AD$16,MATCH('[1]6. Risk Register Integration'!P84,'[1]Lists and Calcs (Hidden)'!$X$12:$X$16,0),MATCH('[1]6. Risk Register Integration'!Q84,'[1]Lists and Calcs (Hidden)'!$Z$10:$AD$10,0))),"")</f>
        <v/>
      </c>
      <c r="S84" s="101" t="str">
        <f>IF('[1]Lists and Calcs (Hidden)'!AJ108="","",
                    IF(INDEX('[1]5. Assess Risks'!$J$6:$J$704,MATCH('[1]Lists and Calcs (Hidden)'!AJ108,'[1]Lists and Calcs (Hidden)'!$AB$34:$AB$732,0))="","",
                                    INDEX('[1]5. Assess Risks'!$J$6:$J$704,MATCH('[1]Lists and Calcs (Hidden)'!AJ108,'[1]Lists and Calcs (Hidden)'!$AB$34:$AB$732,0))
))</f>
        <v/>
      </c>
      <c r="T84" s="102"/>
      <c r="U84" s="105"/>
      <c r="V84" s="106"/>
      <c r="W84" s="105"/>
      <c r="X84" s="105"/>
      <c r="Y84" s="98" t="str">
        <f>IF('[1]Lists and Calcs (Hidden)'!AJ108="","",
                    IF(INDEX('[1]5. Assess Risks'!$L$6:$L$704,MATCH('[1]Lists and Calcs (Hidden)'!AJ108,'[1]Lists and Calcs (Hidden)'!$AB$34:$AB$732,0))="","",
                                    INDEX('[1]5. Assess Risks'!$L$6:$L$704,MATCH('[1]Lists and Calcs (Hidden)'!AJ108,'[1]Lists and Calcs (Hidden)'!$AB$34:$AB$732,0))
))</f>
        <v/>
      </c>
      <c r="Z84" s="95"/>
      <c r="AA84" s="96"/>
      <c r="AB84" s="85"/>
      <c r="AC84" s="86"/>
      <c r="AD84" s="87" t="str">
        <f>IFERROR(IF('[1]2. Prepare'!$O$50="Quantitative",INDEX('[1]Lists and Calcs (Hidden)'!$M$12:$Q$16,MATCH('[1]6. Risk Register Integration'!AB84,'[1]Lists and Calcs (Hidden)'!$K$12:$K$16,0),MATCH('[1]6. Risk Register Integration'!AC84,'[1]Lists and Calcs (Hidden)'!$M$10:$Q$10,0)),INDEX('[1]Lists and Calcs (Hidden)'!$Z$12:$AD$16,MATCH('[1]6. Risk Register Integration'!AB84,'[1]Lists and Calcs (Hidden)'!$X$12:$X$16,0),MATCH('[1]6. Risk Register Integration'!AC84,'[1]Lists and Calcs (Hidden)'!$Z$10:$AD$10,0))),"")</f>
        <v/>
      </c>
      <c r="AE84" s="54"/>
      <c r="AF84" s="4"/>
      <c r="AG84" s="4"/>
    </row>
    <row r="85" spans="2:33" ht="330" customHeight="1" x14ac:dyDescent="0.2">
      <c r="B85" s="107"/>
      <c r="C85" s="89" t="str">
        <f>IF('[1]Lists and Calcs (Hidden)'!AJ109="","",
                    IF(INDEX('[1]5. Assess Risks'!$B$6:$B$704,MATCH('[1]Lists and Calcs (Hidden)'!AJ109,'[1]Lists and Calcs (Hidden)'!$AB$34:$AB$732,0))="","",
                                    INDEX('[1]5. Assess Risks'!$B$6:$B$704,MATCH('[1]Lists and Calcs (Hidden)'!AJ109,'[1]Lists and Calcs (Hidden)'!$AB$34:$AB$732,0))
))</f>
        <v/>
      </c>
      <c r="D85" s="90" t="str">
        <f>IF(C85="", "", '[1]2. Prepare'!$E$6)</f>
        <v/>
      </c>
      <c r="E85" s="91"/>
      <c r="F85" s="91"/>
      <c r="G85" s="91"/>
      <c r="H85" s="91"/>
      <c r="I85" s="89" t="str">
        <f>IF('[1]Lists and Calcs (Hidden)'!AJ109="","",
                    IF(INDEX('[1]5. Assess Risks'!$D$6:$D$704,MATCH('[1]Lists and Calcs (Hidden)'!AJ109,'[1]Lists and Calcs (Hidden)'!$AB$34:$AB$732,0))="","",
                                    INDEX('[1]5. Assess Risks'!$D$6:$D$704,MATCH('[1]Lists and Calcs (Hidden)'!AJ109,'[1]Lists and Calcs (Hidden)'!$AB$34:$AB$732,0))
))</f>
        <v/>
      </c>
      <c r="J85" s="91"/>
      <c r="K85" s="91"/>
      <c r="L85" s="91"/>
      <c r="M85" s="91"/>
      <c r="N85" s="91"/>
      <c r="O85" s="91"/>
      <c r="P85" s="92" t="str">
        <f>IF('[1]Lists and Calcs (Hidden)'!AJ109="","",
                    IF(INDEX('[1]5. Assess Risks'!$G$6:$G$704,MATCH('[1]Lists and Calcs (Hidden)'!AJ109,'[1]Lists and Calcs (Hidden)'!$AB$34:$AB$732,0))="","",
                                    INDEX('[1]5. Assess Risks'!$G$6:$G$704,MATCH('[1]Lists and Calcs (Hidden)'!AJ109,'[1]Lists and Calcs (Hidden)'!$AB$34:$AB$732,0))
))</f>
        <v/>
      </c>
      <c r="Q85" s="92" t="str">
        <f>IF('[1]Lists and Calcs (Hidden)'!AJ109="","",
                    IF(INDEX('[1]5. Assess Risks'!$H$6:$H$704,MATCH('[1]Lists and Calcs (Hidden)'!AJ109,'[1]Lists and Calcs (Hidden)'!$AB$34:$AB$732,0))="","",
                                    INDEX('[1]5. Assess Risks'!$H$6:$H$704,MATCH('[1]Lists and Calcs (Hidden)'!AJ109,'[1]Lists and Calcs (Hidden)'!$AB$34:$AB$732,0))
))</f>
        <v/>
      </c>
      <c r="R85" s="93" t="str">
        <f>IFERROR(IF('[1]2. Prepare'!$O$50="Quantitative",INDEX('[1]Lists and Calcs (Hidden)'!$M$12:$Q$16,MATCH('[1]6. Risk Register Integration'!P85,'[1]Lists and Calcs (Hidden)'!$K$12:$K$16,0),MATCH('[1]6. Risk Register Integration'!Q85,'[1]Lists and Calcs (Hidden)'!$M$10:$Q$10,0)),INDEX('[1]Lists and Calcs (Hidden)'!$Z$12:$AD$16,MATCH('[1]6. Risk Register Integration'!P85,'[1]Lists and Calcs (Hidden)'!$X$12:$X$16,0),MATCH('[1]6. Risk Register Integration'!Q85,'[1]Lists and Calcs (Hidden)'!$Z$10:$AD$10,0))),"")</f>
        <v/>
      </c>
      <c r="S85" s="94" t="str">
        <f>IF('[1]Lists and Calcs (Hidden)'!AJ109="","",
                    IF(INDEX('[1]5. Assess Risks'!$J$6:$J$704,MATCH('[1]Lists and Calcs (Hidden)'!AJ109,'[1]Lists and Calcs (Hidden)'!$AB$34:$AB$732,0))="","",
                                    INDEX('[1]5. Assess Risks'!$J$6:$J$704,MATCH('[1]Lists and Calcs (Hidden)'!AJ109,'[1]Lists and Calcs (Hidden)'!$AB$34:$AB$732,0))
))</f>
        <v/>
      </c>
      <c r="T85" s="102"/>
      <c r="U85" s="105"/>
      <c r="V85" s="106"/>
      <c r="W85" s="105"/>
      <c r="X85" s="105"/>
      <c r="Y85" s="89" t="str">
        <f>IF('[1]Lists and Calcs (Hidden)'!AJ109="","",
                    IF(INDEX('[1]5. Assess Risks'!$L$6:$L$704,MATCH('[1]Lists and Calcs (Hidden)'!AJ109,'[1]Lists and Calcs (Hidden)'!$AB$34:$AB$732,0))="","",
                                    INDEX('[1]5. Assess Risks'!$L$6:$L$704,MATCH('[1]Lists and Calcs (Hidden)'!AJ109,'[1]Lists and Calcs (Hidden)'!$AB$34:$AB$732,0))
))</f>
        <v/>
      </c>
      <c r="Z85" s="95"/>
      <c r="AA85" s="96"/>
      <c r="AB85" s="85"/>
      <c r="AC85" s="86"/>
      <c r="AD85" s="87" t="str">
        <f>IFERROR(IF('[1]2. Prepare'!$O$50="Quantitative",INDEX('[1]Lists and Calcs (Hidden)'!$M$12:$Q$16,MATCH('[1]6. Risk Register Integration'!AB85,'[1]Lists and Calcs (Hidden)'!$K$12:$K$16,0),MATCH('[1]6. Risk Register Integration'!AC85,'[1]Lists and Calcs (Hidden)'!$M$10:$Q$10,0)),INDEX('[1]Lists and Calcs (Hidden)'!$Z$12:$AD$16,MATCH('[1]6. Risk Register Integration'!AB85,'[1]Lists and Calcs (Hidden)'!$X$12:$X$16,0),MATCH('[1]6. Risk Register Integration'!AC85,'[1]Lists and Calcs (Hidden)'!$Z$10:$AD$10,0))),"")</f>
        <v/>
      </c>
      <c r="AE85" s="54"/>
      <c r="AF85" s="4"/>
      <c r="AG85" s="4"/>
    </row>
    <row r="86" spans="2:33" ht="330" customHeight="1" x14ac:dyDescent="0.2">
      <c r="B86" s="107"/>
      <c r="C86" s="98" t="str">
        <f>IF('[1]Lists and Calcs (Hidden)'!AJ110="","",
                    IF(INDEX('[1]5. Assess Risks'!$B$6:$B$704,MATCH('[1]Lists and Calcs (Hidden)'!AJ110,'[1]Lists and Calcs (Hidden)'!$AB$34:$AB$732,0))="","",
                                    INDEX('[1]5. Assess Risks'!$B$6:$B$704,MATCH('[1]Lists and Calcs (Hidden)'!AJ110,'[1]Lists and Calcs (Hidden)'!$AB$34:$AB$732,0))
))</f>
        <v/>
      </c>
      <c r="D86" s="90" t="str">
        <f>IF(C86="", "", '[1]2. Prepare'!$E$6)</f>
        <v/>
      </c>
      <c r="E86" s="91"/>
      <c r="F86" s="91"/>
      <c r="G86" s="91"/>
      <c r="H86" s="91"/>
      <c r="I86" s="98" t="str">
        <f>IF('[1]Lists and Calcs (Hidden)'!AJ110="","",
                    IF(INDEX('[1]5. Assess Risks'!$D$6:$D$704,MATCH('[1]Lists and Calcs (Hidden)'!AJ110,'[1]Lists and Calcs (Hidden)'!$AB$34:$AB$732,0))="","",
                                    INDEX('[1]5. Assess Risks'!$D$6:$D$704,MATCH('[1]Lists and Calcs (Hidden)'!AJ110,'[1]Lists and Calcs (Hidden)'!$AB$34:$AB$732,0))
))</f>
        <v/>
      </c>
      <c r="J86" s="91"/>
      <c r="K86" s="91"/>
      <c r="L86" s="91"/>
      <c r="M86" s="91"/>
      <c r="N86" s="91"/>
      <c r="O86" s="91"/>
      <c r="P86" s="99" t="str">
        <f>IF('[1]Lists and Calcs (Hidden)'!AJ110="","",
                    IF(INDEX('[1]5. Assess Risks'!$G$6:$G$704,MATCH('[1]Lists and Calcs (Hidden)'!AJ110,'[1]Lists and Calcs (Hidden)'!$AB$34:$AB$732,0))="","",
                                    INDEX('[1]5. Assess Risks'!$G$6:$G$704,MATCH('[1]Lists and Calcs (Hidden)'!AJ110,'[1]Lists and Calcs (Hidden)'!$AB$34:$AB$732,0))
))</f>
        <v/>
      </c>
      <c r="Q86" s="99" t="str">
        <f>IF('[1]Lists and Calcs (Hidden)'!AJ110="","",
                    IF(INDEX('[1]5. Assess Risks'!$H$6:$H$704,MATCH('[1]Lists and Calcs (Hidden)'!AJ110,'[1]Lists and Calcs (Hidden)'!$AB$34:$AB$732,0))="","",
                                    INDEX('[1]5. Assess Risks'!$H$6:$H$704,MATCH('[1]Lists and Calcs (Hidden)'!AJ110,'[1]Lists and Calcs (Hidden)'!$AB$34:$AB$732,0))
))</f>
        <v/>
      </c>
      <c r="R86" s="100" t="str">
        <f>IFERROR(IF('[1]2. Prepare'!$O$50="Quantitative",INDEX('[1]Lists and Calcs (Hidden)'!$M$12:$Q$16,MATCH('[1]6. Risk Register Integration'!P86,'[1]Lists and Calcs (Hidden)'!$K$12:$K$16,0),MATCH('[1]6. Risk Register Integration'!Q86,'[1]Lists and Calcs (Hidden)'!$M$10:$Q$10,0)),INDEX('[1]Lists and Calcs (Hidden)'!$Z$12:$AD$16,MATCH('[1]6. Risk Register Integration'!P86,'[1]Lists and Calcs (Hidden)'!$X$12:$X$16,0),MATCH('[1]6. Risk Register Integration'!Q86,'[1]Lists and Calcs (Hidden)'!$Z$10:$AD$10,0))),"")</f>
        <v/>
      </c>
      <c r="S86" s="101" t="str">
        <f>IF('[1]Lists and Calcs (Hidden)'!AJ110="","",
                    IF(INDEX('[1]5. Assess Risks'!$J$6:$J$704,MATCH('[1]Lists and Calcs (Hidden)'!AJ110,'[1]Lists and Calcs (Hidden)'!$AB$34:$AB$732,0))="","",
                                    INDEX('[1]5. Assess Risks'!$J$6:$J$704,MATCH('[1]Lists and Calcs (Hidden)'!AJ110,'[1]Lists and Calcs (Hidden)'!$AB$34:$AB$732,0))
))</f>
        <v/>
      </c>
      <c r="T86" s="102"/>
      <c r="U86" s="105"/>
      <c r="V86" s="106"/>
      <c r="W86" s="105"/>
      <c r="X86" s="105"/>
      <c r="Y86" s="98" t="str">
        <f>IF('[1]Lists and Calcs (Hidden)'!AJ110="","",
                    IF(INDEX('[1]5. Assess Risks'!$L$6:$L$704,MATCH('[1]Lists and Calcs (Hidden)'!AJ110,'[1]Lists and Calcs (Hidden)'!$AB$34:$AB$732,0))="","",
                                    INDEX('[1]5. Assess Risks'!$L$6:$L$704,MATCH('[1]Lists and Calcs (Hidden)'!AJ110,'[1]Lists and Calcs (Hidden)'!$AB$34:$AB$732,0))
))</f>
        <v/>
      </c>
      <c r="Z86" s="95"/>
      <c r="AA86" s="96"/>
      <c r="AB86" s="85"/>
      <c r="AC86" s="86"/>
      <c r="AD86" s="87" t="str">
        <f>IFERROR(IF('[1]2. Prepare'!$O$50="Quantitative",INDEX('[1]Lists and Calcs (Hidden)'!$M$12:$Q$16,MATCH('[1]6. Risk Register Integration'!AB86,'[1]Lists and Calcs (Hidden)'!$K$12:$K$16,0),MATCH('[1]6. Risk Register Integration'!AC86,'[1]Lists and Calcs (Hidden)'!$M$10:$Q$10,0)),INDEX('[1]Lists and Calcs (Hidden)'!$Z$12:$AD$16,MATCH('[1]6. Risk Register Integration'!AB86,'[1]Lists and Calcs (Hidden)'!$X$12:$X$16,0),MATCH('[1]6. Risk Register Integration'!AC86,'[1]Lists and Calcs (Hidden)'!$Z$10:$AD$10,0))),"")</f>
        <v/>
      </c>
      <c r="AE86" s="54"/>
      <c r="AF86" s="4"/>
      <c r="AG86" s="4"/>
    </row>
    <row r="87" spans="2:33" ht="330" customHeight="1" x14ac:dyDescent="0.2">
      <c r="B87" s="107"/>
      <c r="C87" s="89" t="str">
        <f>IF('[1]Lists and Calcs (Hidden)'!AJ111="","",
                    IF(INDEX('[1]5. Assess Risks'!$B$6:$B$704,MATCH('[1]Lists and Calcs (Hidden)'!AJ111,'[1]Lists and Calcs (Hidden)'!$AB$34:$AB$732,0))="","",
                                    INDEX('[1]5. Assess Risks'!$B$6:$B$704,MATCH('[1]Lists and Calcs (Hidden)'!AJ111,'[1]Lists and Calcs (Hidden)'!$AB$34:$AB$732,0))
))</f>
        <v/>
      </c>
      <c r="D87" s="90" t="str">
        <f>IF(C87="", "", '[1]2. Prepare'!$E$6)</f>
        <v/>
      </c>
      <c r="E87" s="91"/>
      <c r="F87" s="91"/>
      <c r="G87" s="91"/>
      <c r="H87" s="91"/>
      <c r="I87" s="89" t="str">
        <f>IF('[1]Lists and Calcs (Hidden)'!AJ111="","",
                    IF(INDEX('[1]5. Assess Risks'!$D$6:$D$704,MATCH('[1]Lists and Calcs (Hidden)'!AJ111,'[1]Lists and Calcs (Hidden)'!$AB$34:$AB$732,0))="","",
                                    INDEX('[1]5. Assess Risks'!$D$6:$D$704,MATCH('[1]Lists and Calcs (Hidden)'!AJ111,'[1]Lists and Calcs (Hidden)'!$AB$34:$AB$732,0))
))</f>
        <v/>
      </c>
      <c r="J87" s="91"/>
      <c r="K87" s="91"/>
      <c r="L87" s="91"/>
      <c r="M87" s="91"/>
      <c r="N87" s="91"/>
      <c r="O87" s="91"/>
      <c r="P87" s="92" t="str">
        <f>IF('[1]Lists and Calcs (Hidden)'!AJ111="","",
                    IF(INDEX('[1]5. Assess Risks'!$G$6:$G$704,MATCH('[1]Lists and Calcs (Hidden)'!AJ111,'[1]Lists and Calcs (Hidden)'!$AB$34:$AB$732,0))="","",
                                    INDEX('[1]5. Assess Risks'!$G$6:$G$704,MATCH('[1]Lists and Calcs (Hidden)'!AJ111,'[1]Lists and Calcs (Hidden)'!$AB$34:$AB$732,0))
))</f>
        <v/>
      </c>
      <c r="Q87" s="92" t="str">
        <f>IF('[1]Lists and Calcs (Hidden)'!AJ111="","",
                    IF(INDEX('[1]5. Assess Risks'!$H$6:$H$704,MATCH('[1]Lists and Calcs (Hidden)'!AJ111,'[1]Lists and Calcs (Hidden)'!$AB$34:$AB$732,0))="","",
                                    INDEX('[1]5. Assess Risks'!$H$6:$H$704,MATCH('[1]Lists and Calcs (Hidden)'!AJ111,'[1]Lists and Calcs (Hidden)'!$AB$34:$AB$732,0))
))</f>
        <v/>
      </c>
      <c r="R87" s="93" t="str">
        <f>IFERROR(IF('[1]2. Prepare'!$O$50="Quantitative",INDEX('[1]Lists and Calcs (Hidden)'!$M$12:$Q$16,MATCH('[1]6. Risk Register Integration'!P87,'[1]Lists and Calcs (Hidden)'!$K$12:$K$16,0),MATCH('[1]6. Risk Register Integration'!Q87,'[1]Lists and Calcs (Hidden)'!$M$10:$Q$10,0)),INDEX('[1]Lists and Calcs (Hidden)'!$Z$12:$AD$16,MATCH('[1]6. Risk Register Integration'!P87,'[1]Lists and Calcs (Hidden)'!$X$12:$X$16,0),MATCH('[1]6. Risk Register Integration'!Q87,'[1]Lists and Calcs (Hidden)'!$Z$10:$AD$10,0))),"")</f>
        <v/>
      </c>
      <c r="S87" s="94" t="str">
        <f>IF('[1]Lists and Calcs (Hidden)'!AJ111="","",
                    IF(INDEX('[1]5. Assess Risks'!$J$6:$J$704,MATCH('[1]Lists and Calcs (Hidden)'!AJ111,'[1]Lists and Calcs (Hidden)'!$AB$34:$AB$732,0))="","",
                                    INDEX('[1]5. Assess Risks'!$J$6:$J$704,MATCH('[1]Lists and Calcs (Hidden)'!AJ111,'[1]Lists and Calcs (Hidden)'!$AB$34:$AB$732,0))
))</f>
        <v/>
      </c>
      <c r="T87" s="102"/>
      <c r="U87" s="105"/>
      <c r="V87" s="106"/>
      <c r="W87" s="105"/>
      <c r="X87" s="105"/>
      <c r="Y87" s="89" t="str">
        <f>IF('[1]Lists and Calcs (Hidden)'!AJ111="","",
                    IF(INDEX('[1]5. Assess Risks'!$L$6:$L$704,MATCH('[1]Lists and Calcs (Hidden)'!AJ111,'[1]Lists and Calcs (Hidden)'!$AB$34:$AB$732,0))="","",
                                    INDEX('[1]5. Assess Risks'!$L$6:$L$704,MATCH('[1]Lists and Calcs (Hidden)'!AJ111,'[1]Lists and Calcs (Hidden)'!$AB$34:$AB$732,0))
))</f>
        <v/>
      </c>
      <c r="Z87" s="95"/>
      <c r="AA87" s="96"/>
      <c r="AB87" s="85"/>
      <c r="AC87" s="86"/>
      <c r="AD87" s="87" t="str">
        <f>IFERROR(IF('[1]2. Prepare'!$O$50="Quantitative",INDEX('[1]Lists and Calcs (Hidden)'!$M$12:$Q$16,MATCH('[1]6. Risk Register Integration'!AB87,'[1]Lists and Calcs (Hidden)'!$K$12:$K$16,0),MATCH('[1]6. Risk Register Integration'!AC87,'[1]Lists and Calcs (Hidden)'!$M$10:$Q$10,0)),INDEX('[1]Lists and Calcs (Hidden)'!$Z$12:$AD$16,MATCH('[1]6. Risk Register Integration'!AB87,'[1]Lists and Calcs (Hidden)'!$X$12:$X$16,0),MATCH('[1]6. Risk Register Integration'!AC87,'[1]Lists and Calcs (Hidden)'!$Z$10:$AD$10,0))),"")</f>
        <v/>
      </c>
      <c r="AE87" s="54"/>
      <c r="AF87" s="4"/>
      <c r="AG87" s="4"/>
    </row>
    <row r="88" spans="2:33" ht="330" customHeight="1" x14ac:dyDescent="0.2">
      <c r="B88" s="108"/>
      <c r="C88" s="98" t="str">
        <f>IF('[1]Lists and Calcs (Hidden)'!AJ112="","",
                    IF(INDEX('[1]5. Assess Risks'!$B$6:$B$704,MATCH('[1]Lists and Calcs (Hidden)'!AJ112,'[1]Lists and Calcs (Hidden)'!$AB$34:$AB$732,0))="","",
                                    INDEX('[1]5. Assess Risks'!$B$6:$B$704,MATCH('[1]Lists and Calcs (Hidden)'!AJ112,'[1]Lists and Calcs (Hidden)'!$AB$34:$AB$732,0))
))</f>
        <v/>
      </c>
      <c r="D88" s="90" t="str">
        <f>IF(C88="", "", '[1]2. Prepare'!$E$6)</f>
        <v/>
      </c>
      <c r="E88" s="91"/>
      <c r="F88" s="91"/>
      <c r="G88" s="91"/>
      <c r="H88" s="91"/>
      <c r="I88" s="98" t="str">
        <f>IF('[1]Lists and Calcs (Hidden)'!AJ112="","",
                    IF(INDEX('[1]5. Assess Risks'!$D$6:$D$704,MATCH('[1]Lists and Calcs (Hidden)'!AJ112,'[1]Lists and Calcs (Hidden)'!$AB$34:$AB$732,0))="","",
                                    INDEX('[1]5. Assess Risks'!$D$6:$D$704,MATCH('[1]Lists and Calcs (Hidden)'!AJ112,'[1]Lists and Calcs (Hidden)'!$AB$34:$AB$732,0))
))</f>
        <v/>
      </c>
      <c r="J88" s="91"/>
      <c r="K88" s="91"/>
      <c r="L88" s="91"/>
      <c r="M88" s="91"/>
      <c r="N88" s="91"/>
      <c r="O88" s="91"/>
      <c r="P88" s="99" t="str">
        <f>IF('[1]Lists and Calcs (Hidden)'!AJ112="","",
                    IF(INDEX('[1]5. Assess Risks'!$G$6:$G$704,MATCH('[1]Lists and Calcs (Hidden)'!AJ112,'[1]Lists and Calcs (Hidden)'!$AB$34:$AB$732,0))="","",
                                    INDEX('[1]5. Assess Risks'!$G$6:$G$704,MATCH('[1]Lists and Calcs (Hidden)'!AJ112,'[1]Lists and Calcs (Hidden)'!$AB$34:$AB$732,0))
))</f>
        <v/>
      </c>
      <c r="Q88" s="99" t="str">
        <f>IF('[1]Lists and Calcs (Hidden)'!AJ112="","",
                    IF(INDEX('[1]5. Assess Risks'!$H$6:$H$704,MATCH('[1]Lists and Calcs (Hidden)'!AJ112,'[1]Lists and Calcs (Hidden)'!$AB$34:$AB$732,0))="","",
                                    INDEX('[1]5. Assess Risks'!$H$6:$H$704,MATCH('[1]Lists and Calcs (Hidden)'!AJ112,'[1]Lists and Calcs (Hidden)'!$AB$34:$AB$732,0))
))</f>
        <v/>
      </c>
      <c r="R88" s="100" t="str">
        <f>IFERROR(IF('[1]2. Prepare'!$O$50="Quantitative",INDEX('[1]Lists and Calcs (Hidden)'!$M$12:$Q$16,MATCH('[1]6. Risk Register Integration'!P88,'[1]Lists and Calcs (Hidden)'!$K$12:$K$16,0),MATCH('[1]6. Risk Register Integration'!Q88,'[1]Lists and Calcs (Hidden)'!$M$10:$Q$10,0)),INDEX('[1]Lists and Calcs (Hidden)'!$Z$12:$AD$16,MATCH('[1]6. Risk Register Integration'!P88,'[1]Lists and Calcs (Hidden)'!$X$12:$X$16,0),MATCH('[1]6. Risk Register Integration'!Q88,'[1]Lists and Calcs (Hidden)'!$Z$10:$AD$10,0))),"")</f>
        <v/>
      </c>
      <c r="S88" s="101" t="str">
        <f>IF('[1]Lists and Calcs (Hidden)'!AJ112="","",
                    IF(INDEX('[1]5. Assess Risks'!$J$6:$J$704,MATCH('[1]Lists and Calcs (Hidden)'!AJ112,'[1]Lists and Calcs (Hidden)'!$AB$34:$AB$732,0))="","",
                                    INDEX('[1]5. Assess Risks'!$J$6:$J$704,MATCH('[1]Lists and Calcs (Hidden)'!AJ112,'[1]Lists and Calcs (Hidden)'!$AB$34:$AB$732,0))
))</f>
        <v/>
      </c>
      <c r="T88" s="102"/>
      <c r="U88" s="105"/>
      <c r="V88" s="106"/>
      <c r="W88" s="105"/>
      <c r="X88" s="105"/>
      <c r="Y88" s="98" t="str">
        <f>IF('[1]Lists and Calcs (Hidden)'!AJ112="","",
                    IF(INDEX('[1]5. Assess Risks'!$L$6:$L$704,MATCH('[1]Lists and Calcs (Hidden)'!AJ112,'[1]Lists and Calcs (Hidden)'!$AB$34:$AB$732,0))="","",
                                    INDEX('[1]5. Assess Risks'!$L$6:$L$704,MATCH('[1]Lists and Calcs (Hidden)'!AJ112,'[1]Lists and Calcs (Hidden)'!$AB$34:$AB$732,0))
))</f>
        <v/>
      </c>
      <c r="Z88" s="95"/>
      <c r="AA88" s="96"/>
      <c r="AB88" s="85"/>
      <c r="AC88" s="86"/>
      <c r="AD88" s="87" t="str">
        <f>IFERROR(IF('[1]2. Prepare'!$O$50="Quantitative",INDEX('[1]Lists and Calcs (Hidden)'!$M$12:$Q$16,MATCH('[1]6. Risk Register Integration'!AB88,'[1]Lists and Calcs (Hidden)'!$K$12:$K$16,0),MATCH('[1]6. Risk Register Integration'!AC88,'[1]Lists and Calcs (Hidden)'!$M$10:$Q$10,0)),INDEX('[1]Lists and Calcs (Hidden)'!$Z$12:$AD$16,MATCH('[1]6. Risk Register Integration'!AB88,'[1]Lists and Calcs (Hidden)'!$X$12:$X$16,0),MATCH('[1]6. Risk Register Integration'!AC88,'[1]Lists and Calcs (Hidden)'!$Z$10:$AD$10,0))),"")</f>
        <v/>
      </c>
      <c r="AE88" s="54"/>
      <c r="AF88" s="4"/>
      <c r="AG88" s="4"/>
    </row>
    <row r="89" spans="2:33" ht="330" customHeight="1" x14ac:dyDescent="0.2">
      <c r="B89" s="107"/>
      <c r="C89" s="89" t="str">
        <f>IF('[1]Lists and Calcs (Hidden)'!AJ113="","",
                    IF(INDEX('[1]5. Assess Risks'!$B$6:$B$704,MATCH('[1]Lists and Calcs (Hidden)'!AJ113,'[1]Lists and Calcs (Hidden)'!$AB$34:$AB$732,0))="","",
                                    INDEX('[1]5. Assess Risks'!$B$6:$B$704,MATCH('[1]Lists and Calcs (Hidden)'!AJ113,'[1]Lists and Calcs (Hidden)'!$AB$34:$AB$732,0))
))</f>
        <v/>
      </c>
      <c r="D89" s="90" t="str">
        <f>IF(C89="", "", '[1]2. Prepare'!$E$6)</f>
        <v/>
      </c>
      <c r="E89" s="91"/>
      <c r="F89" s="91"/>
      <c r="G89" s="91"/>
      <c r="H89" s="91"/>
      <c r="I89" s="89" t="str">
        <f>IF('[1]Lists and Calcs (Hidden)'!AJ113="","",
                    IF(INDEX('[1]5. Assess Risks'!$D$6:$D$704,MATCH('[1]Lists and Calcs (Hidden)'!AJ113,'[1]Lists and Calcs (Hidden)'!$AB$34:$AB$732,0))="","",
                                    INDEX('[1]5. Assess Risks'!$D$6:$D$704,MATCH('[1]Lists and Calcs (Hidden)'!AJ113,'[1]Lists and Calcs (Hidden)'!$AB$34:$AB$732,0))
))</f>
        <v/>
      </c>
      <c r="J89" s="91"/>
      <c r="K89" s="91"/>
      <c r="L89" s="91"/>
      <c r="M89" s="91"/>
      <c r="N89" s="91"/>
      <c r="O89" s="91"/>
      <c r="P89" s="92" t="str">
        <f>IF('[1]Lists and Calcs (Hidden)'!AJ113="","",
                    IF(INDEX('[1]5. Assess Risks'!$G$6:$G$704,MATCH('[1]Lists and Calcs (Hidden)'!AJ113,'[1]Lists and Calcs (Hidden)'!$AB$34:$AB$732,0))="","",
                                    INDEX('[1]5. Assess Risks'!$G$6:$G$704,MATCH('[1]Lists and Calcs (Hidden)'!AJ113,'[1]Lists and Calcs (Hidden)'!$AB$34:$AB$732,0))
))</f>
        <v/>
      </c>
      <c r="Q89" s="92" t="str">
        <f>IF('[1]Lists and Calcs (Hidden)'!AJ113="","",
                    IF(INDEX('[1]5. Assess Risks'!$H$6:$H$704,MATCH('[1]Lists and Calcs (Hidden)'!AJ113,'[1]Lists and Calcs (Hidden)'!$AB$34:$AB$732,0))="","",
                                    INDEX('[1]5. Assess Risks'!$H$6:$H$704,MATCH('[1]Lists and Calcs (Hidden)'!AJ113,'[1]Lists and Calcs (Hidden)'!$AB$34:$AB$732,0))
))</f>
        <v/>
      </c>
      <c r="R89" s="93" t="str">
        <f>IFERROR(IF('[1]2. Prepare'!$O$50="Quantitative",INDEX('[1]Lists and Calcs (Hidden)'!$M$12:$Q$16,MATCH('[1]6. Risk Register Integration'!P89,'[1]Lists and Calcs (Hidden)'!$K$12:$K$16,0),MATCH('[1]6. Risk Register Integration'!Q89,'[1]Lists and Calcs (Hidden)'!$M$10:$Q$10,0)),INDEX('[1]Lists and Calcs (Hidden)'!$Z$12:$AD$16,MATCH('[1]6. Risk Register Integration'!P89,'[1]Lists and Calcs (Hidden)'!$X$12:$X$16,0),MATCH('[1]6. Risk Register Integration'!Q89,'[1]Lists and Calcs (Hidden)'!$Z$10:$AD$10,0))),"")</f>
        <v/>
      </c>
      <c r="S89" s="94" t="str">
        <f>IF('[1]Lists and Calcs (Hidden)'!AJ113="","",
                    IF(INDEX('[1]5. Assess Risks'!$J$6:$J$704,MATCH('[1]Lists and Calcs (Hidden)'!AJ113,'[1]Lists and Calcs (Hidden)'!$AB$34:$AB$732,0))="","",
                                    INDEX('[1]5. Assess Risks'!$J$6:$J$704,MATCH('[1]Lists and Calcs (Hidden)'!AJ113,'[1]Lists and Calcs (Hidden)'!$AB$34:$AB$732,0))
))</f>
        <v/>
      </c>
      <c r="T89" s="102"/>
      <c r="U89" s="105"/>
      <c r="V89" s="106"/>
      <c r="W89" s="105"/>
      <c r="X89" s="105"/>
      <c r="Y89" s="89" t="str">
        <f>IF('[1]Lists and Calcs (Hidden)'!AJ113="","",
                    IF(INDEX('[1]5. Assess Risks'!$L$6:$L$704,MATCH('[1]Lists and Calcs (Hidden)'!AJ113,'[1]Lists and Calcs (Hidden)'!$AB$34:$AB$732,0))="","",
                                    INDEX('[1]5. Assess Risks'!$L$6:$L$704,MATCH('[1]Lists and Calcs (Hidden)'!AJ113,'[1]Lists and Calcs (Hidden)'!$AB$34:$AB$732,0))
))</f>
        <v/>
      </c>
      <c r="Z89" s="95"/>
      <c r="AA89" s="96"/>
      <c r="AB89" s="85"/>
      <c r="AC89" s="86"/>
      <c r="AD89" s="87" t="str">
        <f>IFERROR(IF('[1]2. Prepare'!$O$50="Quantitative",INDEX('[1]Lists and Calcs (Hidden)'!$M$12:$Q$16,MATCH('[1]6. Risk Register Integration'!AB89,'[1]Lists and Calcs (Hidden)'!$K$12:$K$16,0),MATCH('[1]6. Risk Register Integration'!AC89,'[1]Lists and Calcs (Hidden)'!$M$10:$Q$10,0)),INDEX('[1]Lists and Calcs (Hidden)'!$Z$12:$AD$16,MATCH('[1]6. Risk Register Integration'!AB89,'[1]Lists and Calcs (Hidden)'!$X$12:$X$16,0),MATCH('[1]6. Risk Register Integration'!AC89,'[1]Lists and Calcs (Hidden)'!$Z$10:$AD$10,0))),"")</f>
        <v/>
      </c>
      <c r="AE89" s="54"/>
      <c r="AF89" s="4"/>
      <c r="AG89" s="4"/>
    </row>
    <row r="90" spans="2:33" ht="330" customHeight="1" x14ac:dyDescent="0.2">
      <c r="B90" s="107"/>
      <c r="C90" s="98" t="str">
        <f>IF('[1]Lists and Calcs (Hidden)'!AJ114="","",
                    IF(INDEX('[1]5. Assess Risks'!$B$6:$B$704,MATCH('[1]Lists and Calcs (Hidden)'!AJ114,'[1]Lists and Calcs (Hidden)'!$AB$34:$AB$732,0))="","",
                                    INDEX('[1]5. Assess Risks'!$B$6:$B$704,MATCH('[1]Lists and Calcs (Hidden)'!AJ114,'[1]Lists and Calcs (Hidden)'!$AB$34:$AB$732,0))
))</f>
        <v/>
      </c>
      <c r="D90" s="90" t="str">
        <f>IF(C90="", "", '[1]2. Prepare'!$E$6)</f>
        <v/>
      </c>
      <c r="E90" s="91"/>
      <c r="F90" s="91"/>
      <c r="G90" s="91"/>
      <c r="H90" s="91"/>
      <c r="I90" s="98" t="str">
        <f>IF('[1]Lists and Calcs (Hidden)'!AJ114="","",
                    IF(INDEX('[1]5. Assess Risks'!$D$6:$D$704,MATCH('[1]Lists and Calcs (Hidden)'!AJ114,'[1]Lists and Calcs (Hidden)'!$AB$34:$AB$732,0))="","",
                                    INDEX('[1]5. Assess Risks'!$D$6:$D$704,MATCH('[1]Lists and Calcs (Hidden)'!AJ114,'[1]Lists and Calcs (Hidden)'!$AB$34:$AB$732,0))
))</f>
        <v/>
      </c>
      <c r="J90" s="91"/>
      <c r="K90" s="91"/>
      <c r="L90" s="91"/>
      <c r="M90" s="91"/>
      <c r="N90" s="91"/>
      <c r="O90" s="91"/>
      <c r="P90" s="99" t="str">
        <f>IF('[1]Lists and Calcs (Hidden)'!AJ114="","",
                    IF(INDEX('[1]5. Assess Risks'!$G$6:$G$704,MATCH('[1]Lists and Calcs (Hidden)'!AJ114,'[1]Lists and Calcs (Hidden)'!$AB$34:$AB$732,0))="","",
                                    INDEX('[1]5. Assess Risks'!$G$6:$G$704,MATCH('[1]Lists and Calcs (Hidden)'!AJ114,'[1]Lists and Calcs (Hidden)'!$AB$34:$AB$732,0))
))</f>
        <v/>
      </c>
      <c r="Q90" s="99" t="str">
        <f>IF('[1]Lists and Calcs (Hidden)'!AJ114="","",
                    IF(INDEX('[1]5. Assess Risks'!$H$6:$H$704,MATCH('[1]Lists and Calcs (Hidden)'!AJ114,'[1]Lists and Calcs (Hidden)'!$AB$34:$AB$732,0))="","",
                                    INDEX('[1]5. Assess Risks'!$H$6:$H$704,MATCH('[1]Lists and Calcs (Hidden)'!AJ114,'[1]Lists and Calcs (Hidden)'!$AB$34:$AB$732,0))
))</f>
        <v/>
      </c>
      <c r="R90" s="100" t="str">
        <f>IFERROR(IF('[1]2. Prepare'!$O$50="Quantitative",INDEX('[1]Lists and Calcs (Hidden)'!$M$12:$Q$16,MATCH('[1]6. Risk Register Integration'!P90,'[1]Lists and Calcs (Hidden)'!$K$12:$K$16,0),MATCH('[1]6. Risk Register Integration'!Q90,'[1]Lists and Calcs (Hidden)'!$M$10:$Q$10,0)),INDEX('[1]Lists and Calcs (Hidden)'!$Z$12:$AD$16,MATCH('[1]6. Risk Register Integration'!P90,'[1]Lists and Calcs (Hidden)'!$X$12:$X$16,0),MATCH('[1]6. Risk Register Integration'!Q90,'[1]Lists and Calcs (Hidden)'!$Z$10:$AD$10,0))),"")</f>
        <v/>
      </c>
      <c r="S90" s="101" t="str">
        <f>IF('[1]Lists and Calcs (Hidden)'!AJ114="","",
                    IF(INDEX('[1]5. Assess Risks'!$J$6:$J$704,MATCH('[1]Lists and Calcs (Hidden)'!AJ114,'[1]Lists and Calcs (Hidden)'!$AB$34:$AB$732,0))="","",
                                    INDEX('[1]5. Assess Risks'!$J$6:$J$704,MATCH('[1]Lists and Calcs (Hidden)'!AJ114,'[1]Lists and Calcs (Hidden)'!$AB$34:$AB$732,0))
))</f>
        <v/>
      </c>
      <c r="T90" s="102"/>
      <c r="U90" s="105"/>
      <c r="V90" s="106"/>
      <c r="W90" s="105"/>
      <c r="X90" s="105"/>
      <c r="Y90" s="98" t="str">
        <f>IF('[1]Lists and Calcs (Hidden)'!AJ114="","",
                    IF(INDEX('[1]5. Assess Risks'!$L$6:$L$704,MATCH('[1]Lists and Calcs (Hidden)'!AJ114,'[1]Lists and Calcs (Hidden)'!$AB$34:$AB$732,0))="","",
                                    INDEX('[1]5. Assess Risks'!$L$6:$L$704,MATCH('[1]Lists and Calcs (Hidden)'!AJ114,'[1]Lists and Calcs (Hidden)'!$AB$34:$AB$732,0))
))</f>
        <v/>
      </c>
      <c r="Z90" s="95"/>
      <c r="AA90" s="96"/>
      <c r="AB90" s="85"/>
      <c r="AC90" s="86"/>
      <c r="AD90" s="87" t="str">
        <f>IFERROR(IF('[1]2. Prepare'!$O$50="Quantitative",INDEX('[1]Lists and Calcs (Hidden)'!$M$12:$Q$16,MATCH('[1]6. Risk Register Integration'!AB90,'[1]Lists and Calcs (Hidden)'!$K$12:$K$16,0),MATCH('[1]6. Risk Register Integration'!AC90,'[1]Lists and Calcs (Hidden)'!$M$10:$Q$10,0)),INDEX('[1]Lists and Calcs (Hidden)'!$Z$12:$AD$16,MATCH('[1]6. Risk Register Integration'!AB90,'[1]Lists and Calcs (Hidden)'!$X$12:$X$16,0),MATCH('[1]6. Risk Register Integration'!AC90,'[1]Lists and Calcs (Hidden)'!$Z$10:$AD$10,0))),"")</f>
        <v/>
      </c>
      <c r="AE90" s="54"/>
      <c r="AF90" s="4"/>
      <c r="AG90" s="4"/>
    </row>
    <row r="91" spans="2:33" ht="330" customHeight="1" x14ac:dyDescent="0.2">
      <c r="B91" s="107"/>
      <c r="C91" s="89" t="str">
        <f>IF('[1]Lists and Calcs (Hidden)'!AJ115="","",
                    IF(INDEX('[1]5. Assess Risks'!$B$6:$B$704,MATCH('[1]Lists and Calcs (Hidden)'!AJ115,'[1]Lists and Calcs (Hidden)'!$AB$34:$AB$732,0))="","",
                                    INDEX('[1]5. Assess Risks'!$B$6:$B$704,MATCH('[1]Lists and Calcs (Hidden)'!AJ115,'[1]Lists and Calcs (Hidden)'!$AB$34:$AB$732,0))
))</f>
        <v/>
      </c>
      <c r="D91" s="90" t="str">
        <f>IF(C91="", "", '[1]2. Prepare'!$E$6)</f>
        <v/>
      </c>
      <c r="E91" s="91"/>
      <c r="F91" s="91"/>
      <c r="G91" s="91"/>
      <c r="H91" s="91"/>
      <c r="I91" s="89" t="str">
        <f>IF('[1]Lists and Calcs (Hidden)'!AJ115="","",
                    IF(INDEX('[1]5. Assess Risks'!$D$6:$D$704,MATCH('[1]Lists and Calcs (Hidden)'!AJ115,'[1]Lists and Calcs (Hidden)'!$AB$34:$AB$732,0))="","",
                                    INDEX('[1]5. Assess Risks'!$D$6:$D$704,MATCH('[1]Lists and Calcs (Hidden)'!AJ115,'[1]Lists and Calcs (Hidden)'!$AB$34:$AB$732,0))
))</f>
        <v/>
      </c>
      <c r="J91" s="91"/>
      <c r="K91" s="91"/>
      <c r="L91" s="91"/>
      <c r="M91" s="91"/>
      <c r="N91" s="91"/>
      <c r="O91" s="91"/>
      <c r="P91" s="92" t="str">
        <f>IF('[1]Lists and Calcs (Hidden)'!AJ115="","",
                    IF(INDEX('[1]5. Assess Risks'!$G$6:$G$704,MATCH('[1]Lists and Calcs (Hidden)'!AJ115,'[1]Lists and Calcs (Hidden)'!$AB$34:$AB$732,0))="","",
                                    INDEX('[1]5. Assess Risks'!$G$6:$G$704,MATCH('[1]Lists and Calcs (Hidden)'!AJ115,'[1]Lists and Calcs (Hidden)'!$AB$34:$AB$732,0))
))</f>
        <v/>
      </c>
      <c r="Q91" s="92" t="str">
        <f>IF('[1]Lists and Calcs (Hidden)'!AJ115="","",
                    IF(INDEX('[1]5. Assess Risks'!$H$6:$H$704,MATCH('[1]Lists and Calcs (Hidden)'!AJ115,'[1]Lists and Calcs (Hidden)'!$AB$34:$AB$732,0))="","",
                                    INDEX('[1]5. Assess Risks'!$H$6:$H$704,MATCH('[1]Lists and Calcs (Hidden)'!AJ115,'[1]Lists and Calcs (Hidden)'!$AB$34:$AB$732,0))
))</f>
        <v/>
      </c>
      <c r="R91" s="93" t="str">
        <f>IFERROR(IF('[1]2. Prepare'!$O$50="Quantitative",INDEX('[1]Lists and Calcs (Hidden)'!$M$12:$Q$16,MATCH('[1]6. Risk Register Integration'!P91,'[1]Lists and Calcs (Hidden)'!$K$12:$K$16,0),MATCH('[1]6. Risk Register Integration'!Q91,'[1]Lists and Calcs (Hidden)'!$M$10:$Q$10,0)),INDEX('[1]Lists and Calcs (Hidden)'!$Z$12:$AD$16,MATCH('[1]6. Risk Register Integration'!P91,'[1]Lists and Calcs (Hidden)'!$X$12:$X$16,0),MATCH('[1]6. Risk Register Integration'!Q91,'[1]Lists and Calcs (Hidden)'!$Z$10:$AD$10,0))),"")</f>
        <v/>
      </c>
      <c r="S91" s="94" t="str">
        <f>IF('[1]Lists and Calcs (Hidden)'!AJ115="","",
                    IF(INDEX('[1]5. Assess Risks'!$J$6:$J$704,MATCH('[1]Lists and Calcs (Hidden)'!AJ115,'[1]Lists and Calcs (Hidden)'!$AB$34:$AB$732,0))="","",
                                    INDEX('[1]5. Assess Risks'!$J$6:$J$704,MATCH('[1]Lists and Calcs (Hidden)'!AJ115,'[1]Lists and Calcs (Hidden)'!$AB$34:$AB$732,0))
))</f>
        <v/>
      </c>
      <c r="T91" s="102"/>
      <c r="U91" s="105"/>
      <c r="V91" s="106"/>
      <c r="W91" s="105"/>
      <c r="X91" s="105"/>
      <c r="Y91" s="89" t="str">
        <f>IF('[1]Lists and Calcs (Hidden)'!AJ115="","",
                    IF(INDEX('[1]5. Assess Risks'!$L$6:$L$704,MATCH('[1]Lists and Calcs (Hidden)'!AJ115,'[1]Lists and Calcs (Hidden)'!$AB$34:$AB$732,0))="","",
                                    INDEX('[1]5. Assess Risks'!$L$6:$L$704,MATCH('[1]Lists and Calcs (Hidden)'!AJ115,'[1]Lists and Calcs (Hidden)'!$AB$34:$AB$732,0))
))</f>
        <v/>
      </c>
      <c r="Z91" s="95"/>
      <c r="AA91" s="96"/>
      <c r="AB91" s="85"/>
      <c r="AC91" s="86"/>
      <c r="AD91" s="87" t="str">
        <f>IFERROR(IF('[1]2. Prepare'!$O$50="Quantitative",INDEX('[1]Lists and Calcs (Hidden)'!$M$12:$Q$16,MATCH('[1]6. Risk Register Integration'!AB91,'[1]Lists and Calcs (Hidden)'!$K$12:$K$16,0),MATCH('[1]6. Risk Register Integration'!AC91,'[1]Lists and Calcs (Hidden)'!$M$10:$Q$10,0)),INDEX('[1]Lists and Calcs (Hidden)'!$Z$12:$AD$16,MATCH('[1]6. Risk Register Integration'!AB91,'[1]Lists and Calcs (Hidden)'!$X$12:$X$16,0),MATCH('[1]6. Risk Register Integration'!AC91,'[1]Lists and Calcs (Hidden)'!$Z$10:$AD$10,0))),"")</f>
        <v/>
      </c>
      <c r="AE91" s="54"/>
      <c r="AF91" s="4"/>
      <c r="AG91" s="4"/>
    </row>
    <row r="92" spans="2:33" ht="330" customHeight="1" x14ac:dyDescent="0.2">
      <c r="B92" s="107"/>
      <c r="C92" s="98" t="str">
        <f>IF('[1]Lists and Calcs (Hidden)'!AJ116="","",
                    IF(INDEX('[1]5. Assess Risks'!$B$6:$B$704,MATCH('[1]Lists and Calcs (Hidden)'!AJ116,'[1]Lists and Calcs (Hidden)'!$AB$34:$AB$732,0))="","",
                                    INDEX('[1]5. Assess Risks'!$B$6:$B$704,MATCH('[1]Lists and Calcs (Hidden)'!AJ116,'[1]Lists and Calcs (Hidden)'!$AB$34:$AB$732,0))
))</f>
        <v/>
      </c>
      <c r="D92" s="90" t="str">
        <f>IF(C92="", "", '[1]2. Prepare'!$E$6)</f>
        <v/>
      </c>
      <c r="E92" s="91"/>
      <c r="F92" s="91"/>
      <c r="G92" s="91"/>
      <c r="H92" s="91"/>
      <c r="I92" s="98" t="str">
        <f>IF('[1]Lists and Calcs (Hidden)'!AJ116="","",
                    IF(INDEX('[1]5. Assess Risks'!$D$6:$D$704,MATCH('[1]Lists and Calcs (Hidden)'!AJ116,'[1]Lists and Calcs (Hidden)'!$AB$34:$AB$732,0))="","",
                                    INDEX('[1]5. Assess Risks'!$D$6:$D$704,MATCH('[1]Lists and Calcs (Hidden)'!AJ116,'[1]Lists and Calcs (Hidden)'!$AB$34:$AB$732,0))
))</f>
        <v/>
      </c>
      <c r="J92" s="91"/>
      <c r="K92" s="91"/>
      <c r="L92" s="91"/>
      <c r="M92" s="91"/>
      <c r="N92" s="91"/>
      <c r="O92" s="91"/>
      <c r="P92" s="99" t="str">
        <f>IF('[1]Lists and Calcs (Hidden)'!AJ116="","",
                    IF(INDEX('[1]5. Assess Risks'!$G$6:$G$704,MATCH('[1]Lists and Calcs (Hidden)'!AJ116,'[1]Lists and Calcs (Hidden)'!$AB$34:$AB$732,0))="","",
                                    INDEX('[1]5. Assess Risks'!$G$6:$G$704,MATCH('[1]Lists and Calcs (Hidden)'!AJ116,'[1]Lists and Calcs (Hidden)'!$AB$34:$AB$732,0))
))</f>
        <v/>
      </c>
      <c r="Q92" s="99" t="str">
        <f>IF('[1]Lists and Calcs (Hidden)'!AJ116="","",
                    IF(INDEX('[1]5. Assess Risks'!$H$6:$H$704,MATCH('[1]Lists and Calcs (Hidden)'!AJ116,'[1]Lists and Calcs (Hidden)'!$AB$34:$AB$732,0))="","",
                                    INDEX('[1]5. Assess Risks'!$H$6:$H$704,MATCH('[1]Lists and Calcs (Hidden)'!AJ116,'[1]Lists and Calcs (Hidden)'!$AB$34:$AB$732,0))
))</f>
        <v/>
      </c>
      <c r="R92" s="100" t="str">
        <f>IFERROR(IF('[1]2. Prepare'!$O$50="Quantitative",INDEX('[1]Lists and Calcs (Hidden)'!$M$12:$Q$16,MATCH('[1]6. Risk Register Integration'!P92,'[1]Lists and Calcs (Hidden)'!$K$12:$K$16,0),MATCH('[1]6. Risk Register Integration'!Q92,'[1]Lists and Calcs (Hidden)'!$M$10:$Q$10,0)),INDEX('[1]Lists and Calcs (Hidden)'!$Z$12:$AD$16,MATCH('[1]6. Risk Register Integration'!P92,'[1]Lists and Calcs (Hidden)'!$X$12:$X$16,0),MATCH('[1]6. Risk Register Integration'!Q92,'[1]Lists and Calcs (Hidden)'!$Z$10:$AD$10,0))),"")</f>
        <v/>
      </c>
      <c r="S92" s="101" t="str">
        <f>IF('[1]Lists and Calcs (Hidden)'!AJ116="","",
                    IF(INDEX('[1]5. Assess Risks'!$J$6:$J$704,MATCH('[1]Lists and Calcs (Hidden)'!AJ116,'[1]Lists and Calcs (Hidden)'!$AB$34:$AB$732,0))="","",
                                    INDEX('[1]5. Assess Risks'!$J$6:$J$704,MATCH('[1]Lists and Calcs (Hidden)'!AJ116,'[1]Lists and Calcs (Hidden)'!$AB$34:$AB$732,0))
))</f>
        <v/>
      </c>
      <c r="T92" s="102"/>
      <c r="U92" s="105"/>
      <c r="V92" s="106"/>
      <c r="W92" s="105"/>
      <c r="X92" s="105"/>
      <c r="Y92" s="98" t="str">
        <f>IF('[1]Lists and Calcs (Hidden)'!AJ116="","",
                    IF(INDEX('[1]5. Assess Risks'!$L$6:$L$704,MATCH('[1]Lists and Calcs (Hidden)'!AJ116,'[1]Lists and Calcs (Hidden)'!$AB$34:$AB$732,0))="","",
                                    INDEX('[1]5. Assess Risks'!$L$6:$L$704,MATCH('[1]Lists and Calcs (Hidden)'!AJ116,'[1]Lists and Calcs (Hidden)'!$AB$34:$AB$732,0))
))</f>
        <v/>
      </c>
      <c r="Z92" s="95"/>
      <c r="AA92" s="96"/>
      <c r="AB92" s="85"/>
      <c r="AC92" s="86"/>
      <c r="AD92" s="87" t="str">
        <f>IFERROR(IF('[1]2. Prepare'!$O$50="Quantitative",INDEX('[1]Lists and Calcs (Hidden)'!$M$12:$Q$16,MATCH('[1]6. Risk Register Integration'!AB92,'[1]Lists and Calcs (Hidden)'!$K$12:$K$16,0),MATCH('[1]6. Risk Register Integration'!AC92,'[1]Lists and Calcs (Hidden)'!$M$10:$Q$10,0)),INDEX('[1]Lists and Calcs (Hidden)'!$Z$12:$AD$16,MATCH('[1]6. Risk Register Integration'!AB92,'[1]Lists and Calcs (Hidden)'!$X$12:$X$16,0),MATCH('[1]6. Risk Register Integration'!AC92,'[1]Lists and Calcs (Hidden)'!$Z$10:$AD$10,0))),"")</f>
        <v/>
      </c>
      <c r="AE92" s="54"/>
      <c r="AF92" s="4"/>
      <c r="AG92" s="4"/>
    </row>
    <row r="93" spans="2:33" ht="330" customHeight="1" x14ac:dyDescent="0.2">
      <c r="B93" s="108"/>
      <c r="C93" s="89" t="str">
        <f>IF('[1]Lists and Calcs (Hidden)'!AJ117="","",
                    IF(INDEX('[1]5. Assess Risks'!$B$6:$B$704,MATCH('[1]Lists and Calcs (Hidden)'!AJ117,'[1]Lists and Calcs (Hidden)'!$AB$34:$AB$732,0))="","",
                                    INDEX('[1]5. Assess Risks'!$B$6:$B$704,MATCH('[1]Lists and Calcs (Hidden)'!AJ117,'[1]Lists and Calcs (Hidden)'!$AB$34:$AB$732,0))
))</f>
        <v/>
      </c>
      <c r="D93" s="90" t="str">
        <f>IF(C93="", "", '[1]2. Prepare'!$E$6)</f>
        <v/>
      </c>
      <c r="E93" s="91"/>
      <c r="F93" s="91"/>
      <c r="G93" s="91"/>
      <c r="H93" s="91"/>
      <c r="I93" s="89" t="str">
        <f>IF('[1]Lists and Calcs (Hidden)'!AJ117="","",
                    IF(INDEX('[1]5. Assess Risks'!$D$6:$D$704,MATCH('[1]Lists and Calcs (Hidden)'!AJ117,'[1]Lists and Calcs (Hidden)'!$AB$34:$AB$732,0))="","",
                                    INDEX('[1]5. Assess Risks'!$D$6:$D$704,MATCH('[1]Lists and Calcs (Hidden)'!AJ117,'[1]Lists and Calcs (Hidden)'!$AB$34:$AB$732,0))
))</f>
        <v/>
      </c>
      <c r="J93" s="91"/>
      <c r="K93" s="91"/>
      <c r="L93" s="91"/>
      <c r="M93" s="91"/>
      <c r="N93" s="91"/>
      <c r="O93" s="91"/>
      <c r="P93" s="92" t="str">
        <f>IF('[1]Lists and Calcs (Hidden)'!AJ117="","",
                    IF(INDEX('[1]5. Assess Risks'!$G$6:$G$704,MATCH('[1]Lists and Calcs (Hidden)'!AJ117,'[1]Lists and Calcs (Hidden)'!$AB$34:$AB$732,0))="","",
                                    INDEX('[1]5. Assess Risks'!$G$6:$G$704,MATCH('[1]Lists and Calcs (Hidden)'!AJ117,'[1]Lists and Calcs (Hidden)'!$AB$34:$AB$732,0))
))</f>
        <v/>
      </c>
      <c r="Q93" s="92" t="str">
        <f>IF('[1]Lists and Calcs (Hidden)'!AJ117="","",
                    IF(INDEX('[1]5. Assess Risks'!$H$6:$H$704,MATCH('[1]Lists and Calcs (Hidden)'!AJ117,'[1]Lists and Calcs (Hidden)'!$AB$34:$AB$732,0))="","",
                                    INDEX('[1]5. Assess Risks'!$H$6:$H$704,MATCH('[1]Lists and Calcs (Hidden)'!AJ117,'[1]Lists and Calcs (Hidden)'!$AB$34:$AB$732,0))
))</f>
        <v/>
      </c>
      <c r="R93" s="93" t="str">
        <f>IFERROR(IF('[1]2. Prepare'!$O$50="Quantitative",INDEX('[1]Lists and Calcs (Hidden)'!$M$12:$Q$16,MATCH('[1]6. Risk Register Integration'!P93,'[1]Lists and Calcs (Hidden)'!$K$12:$K$16,0),MATCH('[1]6. Risk Register Integration'!Q93,'[1]Lists and Calcs (Hidden)'!$M$10:$Q$10,0)),INDEX('[1]Lists and Calcs (Hidden)'!$Z$12:$AD$16,MATCH('[1]6. Risk Register Integration'!P93,'[1]Lists and Calcs (Hidden)'!$X$12:$X$16,0),MATCH('[1]6. Risk Register Integration'!Q93,'[1]Lists and Calcs (Hidden)'!$Z$10:$AD$10,0))),"")</f>
        <v/>
      </c>
      <c r="S93" s="94" t="str">
        <f>IF('[1]Lists and Calcs (Hidden)'!AJ117="","",
                    IF(INDEX('[1]5. Assess Risks'!$J$6:$J$704,MATCH('[1]Lists and Calcs (Hidden)'!AJ117,'[1]Lists and Calcs (Hidden)'!$AB$34:$AB$732,0))="","",
                                    INDEX('[1]5. Assess Risks'!$J$6:$J$704,MATCH('[1]Lists and Calcs (Hidden)'!AJ117,'[1]Lists and Calcs (Hidden)'!$AB$34:$AB$732,0))
))</f>
        <v/>
      </c>
      <c r="T93" s="102"/>
      <c r="U93" s="105"/>
      <c r="V93" s="106"/>
      <c r="W93" s="105"/>
      <c r="X93" s="105"/>
      <c r="Y93" s="89" t="str">
        <f>IF('[1]Lists and Calcs (Hidden)'!AJ117="","",
                    IF(INDEX('[1]5. Assess Risks'!$L$6:$L$704,MATCH('[1]Lists and Calcs (Hidden)'!AJ117,'[1]Lists and Calcs (Hidden)'!$AB$34:$AB$732,0))="","",
                                    INDEX('[1]5. Assess Risks'!$L$6:$L$704,MATCH('[1]Lists and Calcs (Hidden)'!AJ117,'[1]Lists and Calcs (Hidden)'!$AB$34:$AB$732,0))
))</f>
        <v/>
      </c>
      <c r="Z93" s="95"/>
      <c r="AA93" s="96"/>
      <c r="AB93" s="85"/>
      <c r="AC93" s="86"/>
      <c r="AD93" s="87" t="str">
        <f>IFERROR(IF('[1]2. Prepare'!$O$50="Quantitative",INDEX('[1]Lists and Calcs (Hidden)'!$M$12:$Q$16,MATCH('[1]6. Risk Register Integration'!AB93,'[1]Lists and Calcs (Hidden)'!$K$12:$K$16,0),MATCH('[1]6. Risk Register Integration'!AC93,'[1]Lists and Calcs (Hidden)'!$M$10:$Q$10,0)),INDEX('[1]Lists and Calcs (Hidden)'!$Z$12:$AD$16,MATCH('[1]6. Risk Register Integration'!AB93,'[1]Lists and Calcs (Hidden)'!$X$12:$X$16,0),MATCH('[1]6. Risk Register Integration'!AC93,'[1]Lists and Calcs (Hidden)'!$Z$10:$AD$10,0))),"")</f>
        <v/>
      </c>
      <c r="AE93" s="54"/>
      <c r="AF93" s="4"/>
      <c r="AG93" s="4"/>
    </row>
    <row r="94" spans="2:33" ht="330" customHeight="1" x14ac:dyDescent="0.2">
      <c r="B94" s="107"/>
      <c r="C94" s="98" t="str">
        <f>IF('[1]Lists and Calcs (Hidden)'!AJ118="","",
                    IF(INDEX('[1]5. Assess Risks'!$B$6:$B$704,MATCH('[1]Lists and Calcs (Hidden)'!AJ118,'[1]Lists and Calcs (Hidden)'!$AB$34:$AB$732,0))="","",
                                    INDEX('[1]5. Assess Risks'!$B$6:$B$704,MATCH('[1]Lists and Calcs (Hidden)'!AJ118,'[1]Lists and Calcs (Hidden)'!$AB$34:$AB$732,0))
))</f>
        <v/>
      </c>
      <c r="D94" s="90" t="str">
        <f>IF(C94="", "", '[1]2. Prepare'!$E$6)</f>
        <v/>
      </c>
      <c r="E94" s="91"/>
      <c r="F94" s="91"/>
      <c r="G94" s="91"/>
      <c r="H94" s="91"/>
      <c r="I94" s="98" t="str">
        <f>IF('[1]Lists and Calcs (Hidden)'!AJ118="","",
                    IF(INDEX('[1]5. Assess Risks'!$D$6:$D$704,MATCH('[1]Lists and Calcs (Hidden)'!AJ118,'[1]Lists and Calcs (Hidden)'!$AB$34:$AB$732,0))="","",
                                    INDEX('[1]5. Assess Risks'!$D$6:$D$704,MATCH('[1]Lists and Calcs (Hidden)'!AJ118,'[1]Lists and Calcs (Hidden)'!$AB$34:$AB$732,0))
))</f>
        <v/>
      </c>
      <c r="J94" s="91"/>
      <c r="K94" s="91"/>
      <c r="L94" s="91"/>
      <c r="M94" s="91"/>
      <c r="N94" s="91"/>
      <c r="O94" s="91"/>
      <c r="P94" s="99" t="str">
        <f>IF('[1]Lists and Calcs (Hidden)'!AJ118="","",
                    IF(INDEX('[1]5. Assess Risks'!$G$6:$G$704,MATCH('[1]Lists and Calcs (Hidden)'!AJ118,'[1]Lists and Calcs (Hidden)'!$AB$34:$AB$732,0))="","",
                                    INDEX('[1]5. Assess Risks'!$G$6:$G$704,MATCH('[1]Lists and Calcs (Hidden)'!AJ118,'[1]Lists and Calcs (Hidden)'!$AB$34:$AB$732,0))
))</f>
        <v/>
      </c>
      <c r="Q94" s="99" t="str">
        <f>IF('[1]Lists and Calcs (Hidden)'!AJ118="","",
                    IF(INDEX('[1]5. Assess Risks'!$H$6:$H$704,MATCH('[1]Lists and Calcs (Hidden)'!AJ118,'[1]Lists and Calcs (Hidden)'!$AB$34:$AB$732,0))="","",
                                    INDEX('[1]5. Assess Risks'!$H$6:$H$704,MATCH('[1]Lists and Calcs (Hidden)'!AJ118,'[1]Lists and Calcs (Hidden)'!$AB$34:$AB$732,0))
))</f>
        <v/>
      </c>
      <c r="R94" s="100" t="str">
        <f>IFERROR(IF('[1]2. Prepare'!$O$50="Quantitative",INDEX('[1]Lists and Calcs (Hidden)'!$M$12:$Q$16,MATCH('[1]6. Risk Register Integration'!P94,'[1]Lists and Calcs (Hidden)'!$K$12:$K$16,0),MATCH('[1]6. Risk Register Integration'!Q94,'[1]Lists and Calcs (Hidden)'!$M$10:$Q$10,0)),INDEX('[1]Lists and Calcs (Hidden)'!$Z$12:$AD$16,MATCH('[1]6. Risk Register Integration'!P94,'[1]Lists and Calcs (Hidden)'!$X$12:$X$16,0),MATCH('[1]6. Risk Register Integration'!Q94,'[1]Lists and Calcs (Hidden)'!$Z$10:$AD$10,0))),"")</f>
        <v/>
      </c>
      <c r="S94" s="101" t="str">
        <f>IF('[1]Lists and Calcs (Hidden)'!AJ118="","",
                    IF(INDEX('[1]5. Assess Risks'!$J$6:$J$704,MATCH('[1]Lists and Calcs (Hidden)'!AJ118,'[1]Lists and Calcs (Hidden)'!$AB$34:$AB$732,0))="","",
                                    INDEX('[1]5. Assess Risks'!$J$6:$J$704,MATCH('[1]Lists and Calcs (Hidden)'!AJ118,'[1]Lists and Calcs (Hidden)'!$AB$34:$AB$732,0))
))</f>
        <v/>
      </c>
      <c r="T94" s="102"/>
      <c r="U94" s="105"/>
      <c r="V94" s="106"/>
      <c r="W94" s="105"/>
      <c r="X94" s="105"/>
      <c r="Y94" s="98" t="str">
        <f>IF('[1]Lists and Calcs (Hidden)'!AJ118="","",
                    IF(INDEX('[1]5. Assess Risks'!$L$6:$L$704,MATCH('[1]Lists and Calcs (Hidden)'!AJ118,'[1]Lists and Calcs (Hidden)'!$AB$34:$AB$732,0))="","",
                                    INDEX('[1]5. Assess Risks'!$L$6:$L$704,MATCH('[1]Lists and Calcs (Hidden)'!AJ118,'[1]Lists and Calcs (Hidden)'!$AB$34:$AB$732,0))
))</f>
        <v/>
      </c>
      <c r="Z94" s="95"/>
      <c r="AA94" s="96"/>
      <c r="AB94" s="85"/>
      <c r="AC94" s="86"/>
      <c r="AD94" s="87" t="str">
        <f>IFERROR(IF('[1]2. Prepare'!$O$50="Quantitative",INDEX('[1]Lists and Calcs (Hidden)'!$M$12:$Q$16,MATCH('[1]6. Risk Register Integration'!AB94,'[1]Lists and Calcs (Hidden)'!$K$12:$K$16,0),MATCH('[1]6. Risk Register Integration'!AC94,'[1]Lists and Calcs (Hidden)'!$M$10:$Q$10,0)),INDEX('[1]Lists and Calcs (Hidden)'!$Z$12:$AD$16,MATCH('[1]6. Risk Register Integration'!AB94,'[1]Lists and Calcs (Hidden)'!$X$12:$X$16,0),MATCH('[1]6. Risk Register Integration'!AC94,'[1]Lists and Calcs (Hidden)'!$Z$10:$AD$10,0))),"")</f>
        <v/>
      </c>
      <c r="AE94" s="54"/>
      <c r="AF94" s="4"/>
      <c r="AG94" s="4"/>
    </row>
    <row r="95" spans="2:33" ht="330" customHeight="1" x14ac:dyDescent="0.2">
      <c r="B95" s="107"/>
      <c r="C95" s="89" t="str">
        <f>IF('[1]Lists and Calcs (Hidden)'!AJ119="","",
                    IF(INDEX('[1]5. Assess Risks'!$B$6:$B$704,MATCH('[1]Lists and Calcs (Hidden)'!AJ119,'[1]Lists and Calcs (Hidden)'!$AB$34:$AB$732,0))="","",
                                    INDEX('[1]5. Assess Risks'!$B$6:$B$704,MATCH('[1]Lists and Calcs (Hidden)'!AJ119,'[1]Lists and Calcs (Hidden)'!$AB$34:$AB$732,0))
))</f>
        <v/>
      </c>
      <c r="D95" s="90" t="str">
        <f>IF(C95="", "", '[1]2. Prepare'!$E$6)</f>
        <v/>
      </c>
      <c r="E95" s="91"/>
      <c r="F95" s="91"/>
      <c r="G95" s="91"/>
      <c r="H95" s="91"/>
      <c r="I95" s="89" t="str">
        <f>IF('[1]Lists and Calcs (Hidden)'!AJ119="","",
                    IF(INDEX('[1]5. Assess Risks'!$D$6:$D$704,MATCH('[1]Lists and Calcs (Hidden)'!AJ119,'[1]Lists and Calcs (Hidden)'!$AB$34:$AB$732,0))="","",
                                    INDEX('[1]5. Assess Risks'!$D$6:$D$704,MATCH('[1]Lists and Calcs (Hidden)'!AJ119,'[1]Lists and Calcs (Hidden)'!$AB$34:$AB$732,0))
))</f>
        <v/>
      </c>
      <c r="J95" s="91"/>
      <c r="K95" s="91"/>
      <c r="L95" s="91"/>
      <c r="M95" s="91"/>
      <c r="N95" s="91"/>
      <c r="O95" s="91"/>
      <c r="P95" s="92" t="str">
        <f>IF('[1]Lists and Calcs (Hidden)'!AJ119="","",
                    IF(INDEX('[1]5. Assess Risks'!$G$6:$G$704,MATCH('[1]Lists and Calcs (Hidden)'!AJ119,'[1]Lists and Calcs (Hidden)'!$AB$34:$AB$732,0))="","",
                                    INDEX('[1]5. Assess Risks'!$G$6:$G$704,MATCH('[1]Lists and Calcs (Hidden)'!AJ119,'[1]Lists and Calcs (Hidden)'!$AB$34:$AB$732,0))
))</f>
        <v/>
      </c>
      <c r="Q95" s="92" t="str">
        <f>IF('[1]Lists and Calcs (Hidden)'!AJ119="","",
                    IF(INDEX('[1]5. Assess Risks'!$H$6:$H$704,MATCH('[1]Lists and Calcs (Hidden)'!AJ119,'[1]Lists and Calcs (Hidden)'!$AB$34:$AB$732,0))="","",
                                    INDEX('[1]5. Assess Risks'!$H$6:$H$704,MATCH('[1]Lists and Calcs (Hidden)'!AJ119,'[1]Lists and Calcs (Hidden)'!$AB$34:$AB$732,0))
))</f>
        <v/>
      </c>
      <c r="R95" s="93" t="str">
        <f>IFERROR(IF('[1]2. Prepare'!$O$50="Quantitative",INDEX('[1]Lists and Calcs (Hidden)'!$M$12:$Q$16,MATCH('[1]6. Risk Register Integration'!P95,'[1]Lists and Calcs (Hidden)'!$K$12:$K$16,0),MATCH('[1]6. Risk Register Integration'!Q95,'[1]Lists and Calcs (Hidden)'!$M$10:$Q$10,0)),INDEX('[1]Lists and Calcs (Hidden)'!$Z$12:$AD$16,MATCH('[1]6. Risk Register Integration'!P95,'[1]Lists and Calcs (Hidden)'!$X$12:$X$16,0),MATCH('[1]6. Risk Register Integration'!Q95,'[1]Lists and Calcs (Hidden)'!$Z$10:$AD$10,0))),"")</f>
        <v/>
      </c>
      <c r="S95" s="94" t="str">
        <f>IF('[1]Lists and Calcs (Hidden)'!AJ119="","",
                    IF(INDEX('[1]5. Assess Risks'!$J$6:$J$704,MATCH('[1]Lists and Calcs (Hidden)'!AJ119,'[1]Lists and Calcs (Hidden)'!$AB$34:$AB$732,0))="","",
                                    INDEX('[1]5. Assess Risks'!$J$6:$J$704,MATCH('[1]Lists and Calcs (Hidden)'!AJ119,'[1]Lists and Calcs (Hidden)'!$AB$34:$AB$732,0))
))</f>
        <v/>
      </c>
      <c r="T95" s="102"/>
      <c r="U95" s="105"/>
      <c r="V95" s="106"/>
      <c r="W95" s="105"/>
      <c r="X95" s="105"/>
      <c r="Y95" s="89" t="str">
        <f>IF('[1]Lists and Calcs (Hidden)'!AJ119="","",
                    IF(INDEX('[1]5. Assess Risks'!$L$6:$L$704,MATCH('[1]Lists and Calcs (Hidden)'!AJ119,'[1]Lists and Calcs (Hidden)'!$AB$34:$AB$732,0))="","",
                                    INDEX('[1]5. Assess Risks'!$L$6:$L$704,MATCH('[1]Lists and Calcs (Hidden)'!AJ119,'[1]Lists and Calcs (Hidden)'!$AB$34:$AB$732,0))
))</f>
        <v/>
      </c>
      <c r="Z95" s="95"/>
      <c r="AA95" s="96"/>
      <c r="AB95" s="85"/>
      <c r="AC95" s="86"/>
      <c r="AD95" s="87" t="str">
        <f>IFERROR(IF('[1]2. Prepare'!$O$50="Quantitative",INDEX('[1]Lists and Calcs (Hidden)'!$M$12:$Q$16,MATCH('[1]6. Risk Register Integration'!AB95,'[1]Lists and Calcs (Hidden)'!$K$12:$K$16,0),MATCH('[1]6. Risk Register Integration'!AC95,'[1]Lists and Calcs (Hidden)'!$M$10:$Q$10,0)),INDEX('[1]Lists and Calcs (Hidden)'!$Z$12:$AD$16,MATCH('[1]6. Risk Register Integration'!AB95,'[1]Lists and Calcs (Hidden)'!$X$12:$X$16,0),MATCH('[1]6. Risk Register Integration'!AC95,'[1]Lists and Calcs (Hidden)'!$Z$10:$AD$10,0))),"")</f>
        <v/>
      </c>
      <c r="AE95" s="54"/>
      <c r="AF95" s="4"/>
      <c r="AG95" s="4"/>
    </row>
    <row r="96" spans="2:33" ht="330" customHeight="1" x14ac:dyDescent="0.2">
      <c r="B96" s="107"/>
      <c r="C96" s="98" t="str">
        <f>IF('[1]Lists and Calcs (Hidden)'!AJ120="","",
                    IF(INDEX('[1]5. Assess Risks'!$B$6:$B$704,MATCH('[1]Lists and Calcs (Hidden)'!AJ120,'[1]Lists and Calcs (Hidden)'!$AB$34:$AB$732,0))="","",
                                    INDEX('[1]5. Assess Risks'!$B$6:$B$704,MATCH('[1]Lists and Calcs (Hidden)'!AJ120,'[1]Lists and Calcs (Hidden)'!$AB$34:$AB$732,0))
))</f>
        <v/>
      </c>
      <c r="D96" s="90" t="str">
        <f>IF(C96="", "", '[1]2. Prepare'!$E$6)</f>
        <v/>
      </c>
      <c r="E96" s="91"/>
      <c r="F96" s="91"/>
      <c r="G96" s="91"/>
      <c r="H96" s="91"/>
      <c r="I96" s="98" t="str">
        <f>IF('[1]Lists and Calcs (Hidden)'!AJ120="","",
                    IF(INDEX('[1]5. Assess Risks'!$D$6:$D$704,MATCH('[1]Lists and Calcs (Hidden)'!AJ120,'[1]Lists and Calcs (Hidden)'!$AB$34:$AB$732,0))="","",
                                    INDEX('[1]5. Assess Risks'!$D$6:$D$704,MATCH('[1]Lists and Calcs (Hidden)'!AJ120,'[1]Lists and Calcs (Hidden)'!$AB$34:$AB$732,0))
))</f>
        <v/>
      </c>
      <c r="J96" s="91"/>
      <c r="K96" s="91"/>
      <c r="L96" s="91"/>
      <c r="M96" s="91"/>
      <c r="N96" s="91"/>
      <c r="O96" s="91"/>
      <c r="P96" s="99" t="str">
        <f>IF('[1]Lists and Calcs (Hidden)'!AJ120="","",
                    IF(INDEX('[1]5. Assess Risks'!$G$6:$G$704,MATCH('[1]Lists and Calcs (Hidden)'!AJ120,'[1]Lists and Calcs (Hidden)'!$AB$34:$AB$732,0))="","",
                                    INDEX('[1]5. Assess Risks'!$G$6:$G$704,MATCH('[1]Lists and Calcs (Hidden)'!AJ120,'[1]Lists and Calcs (Hidden)'!$AB$34:$AB$732,0))
))</f>
        <v/>
      </c>
      <c r="Q96" s="99" t="str">
        <f>IF('[1]Lists and Calcs (Hidden)'!AJ120="","",
                    IF(INDEX('[1]5. Assess Risks'!$H$6:$H$704,MATCH('[1]Lists and Calcs (Hidden)'!AJ120,'[1]Lists and Calcs (Hidden)'!$AB$34:$AB$732,0))="","",
                                    INDEX('[1]5. Assess Risks'!$H$6:$H$704,MATCH('[1]Lists and Calcs (Hidden)'!AJ120,'[1]Lists and Calcs (Hidden)'!$AB$34:$AB$732,0))
))</f>
        <v/>
      </c>
      <c r="R96" s="100" t="str">
        <f>IFERROR(IF('[1]2. Prepare'!$O$50="Quantitative",INDEX('[1]Lists and Calcs (Hidden)'!$M$12:$Q$16,MATCH('[1]6. Risk Register Integration'!P96,'[1]Lists and Calcs (Hidden)'!$K$12:$K$16,0),MATCH('[1]6. Risk Register Integration'!Q96,'[1]Lists and Calcs (Hidden)'!$M$10:$Q$10,0)),INDEX('[1]Lists and Calcs (Hidden)'!$Z$12:$AD$16,MATCH('[1]6. Risk Register Integration'!P96,'[1]Lists and Calcs (Hidden)'!$X$12:$X$16,0),MATCH('[1]6. Risk Register Integration'!Q96,'[1]Lists and Calcs (Hidden)'!$Z$10:$AD$10,0))),"")</f>
        <v/>
      </c>
      <c r="S96" s="101" t="str">
        <f>IF('[1]Lists and Calcs (Hidden)'!AJ120="","",
                    IF(INDEX('[1]5. Assess Risks'!$J$6:$J$704,MATCH('[1]Lists and Calcs (Hidden)'!AJ120,'[1]Lists and Calcs (Hidden)'!$AB$34:$AB$732,0))="","",
                                    INDEX('[1]5. Assess Risks'!$J$6:$J$704,MATCH('[1]Lists and Calcs (Hidden)'!AJ120,'[1]Lists and Calcs (Hidden)'!$AB$34:$AB$732,0))
))</f>
        <v/>
      </c>
      <c r="T96" s="102"/>
      <c r="U96" s="105"/>
      <c r="V96" s="106"/>
      <c r="W96" s="105"/>
      <c r="X96" s="105"/>
      <c r="Y96" s="98" t="str">
        <f>IF('[1]Lists and Calcs (Hidden)'!AJ120="","",
                    IF(INDEX('[1]5. Assess Risks'!$L$6:$L$704,MATCH('[1]Lists and Calcs (Hidden)'!AJ120,'[1]Lists and Calcs (Hidden)'!$AB$34:$AB$732,0))="","",
                                    INDEX('[1]5. Assess Risks'!$L$6:$L$704,MATCH('[1]Lists and Calcs (Hidden)'!AJ120,'[1]Lists and Calcs (Hidden)'!$AB$34:$AB$732,0))
))</f>
        <v/>
      </c>
      <c r="Z96" s="95"/>
      <c r="AA96" s="96"/>
      <c r="AB96" s="85"/>
      <c r="AC96" s="86"/>
      <c r="AD96" s="87" t="str">
        <f>IFERROR(IF('[1]2. Prepare'!$O$50="Quantitative",INDEX('[1]Lists and Calcs (Hidden)'!$M$12:$Q$16,MATCH('[1]6. Risk Register Integration'!AB96,'[1]Lists and Calcs (Hidden)'!$K$12:$K$16,0),MATCH('[1]6. Risk Register Integration'!AC96,'[1]Lists and Calcs (Hidden)'!$M$10:$Q$10,0)),INDEX('[1]Lists and Calcs (Hidden)'!$Z$12:$AD$16,MATCH('[1]6. Risk Register Integration'!AB96,'[1]Lists and Calcs (Hidden)'!$X$12:$X$16,0),MATCH('[1]6. Risk Register Integration'!AC96,'[1]Lists and Calcs (Hidden)'!$Z$10:$AD$10,0))),"")</f>
        <v/>
      </c>
      <c r="AE96" s="54"/>
      <c r="AF96" s="4"/>
      <c r="AG96" s="4"/>
    </row>
    <row r="97" spans="2:33" ht="330" customHeight="1" x14ac:dyDescent="0.2">
      <c r="B97" s="107"/>
      <c r="C97" s="89" t="str">
        <f>IF('[1]Lists and Calcs (Hidden)'!AJ121="","",
                    IF(INDEX('[1]5. Assess Risks'!$B$6:$B$704,MATCH('[1]Lists and Calcs (Hidden)'!AJ121,'[1]Lists and Calcs (Hidden)'!$AB$34:$AB$732,0))="","",
                                    INDEX('[1]5. Assess Risks'!$B$6:$B$704,MATCH('[1]Lists and Calcs (Hidden)'!AJ121,'[1]Lists and Calcs (Hidden)'!$AB$34:$AB$732,0))
))</f>
        <v/>
      </c>
      <c r="D97" s="90" t="str">
        <f>IF(C97="", "", '[1]2. Prepare'!$E$6)</f>
        <v/>
      </c>
      <c r="E97" s="91"/>
      <c r="F97" s="91"/>
      <c r="G97" s="91"/>
      <c r="H97" s="91"/>
      <c r="I97" s="89" t="str">
        <f>IF('[1]Lists and Calcs (Hidden)'!AJ121="","",
                    IF(INDEX('[1]5. Assess Risks'!$D$6:$D$704,MATCH('[1]Lists and Calcs (Hidden)'!AJ121,'[1]Lists and Calcs (Hidden)'!$AB$34:$AB$732,0))="","",
                                    INDEX('[1]5. Assess Risks'!$D$6:$D$704,MATCH('[1]Lists and Calcs (Hidden)'!AJ121,'[1]Lists and Calcs (Hidden)'!$AB$34:$AB$732,0))
))</f>
        <v/>
      </c>
      <c r="J97" s="91"/>
      <c r="K97" s="91"/>
      <c r="L97" s="91"/>
      <c r="M97" s="91"/>
      <c r="N97" s="91"/>
      <c r="O97" s="91"/>
      <c r="P97" s="92" t="str">
        <f>IF('[1]Lists and Calcs (Hidden)'!AJ121="","",
                    IF(INDEX('[1]5. Assess Risks'!$G$6:$G$704,MATCH('[1]Lists and Calcs (Hidden)'!AJ121,'[1]Lists and Calcs (Hidden)'!$AB$34:$AB$732,0))="","",
                                    INDEX('[1]5. Assess Risks'!$G$6:$G$704,MATCH('[1]Lists and Calcs (Hidden)'!AJ121,'[1]Lists and Calcs (Hidden)'!$AB$34:$AB$732,0))
))</f>
        <v/>
      </c>
      <c r="Q97" s="92" t="str">
        <f>IF('[1]Lists and Calcs (Hidden)'!AJ121="","",
                    IF(INDEX('[1]5. Assess Risks'!$H$6:$H$704,MATCH('[1]Lists and Calcs (Hidden)'!AJ121,'[1]Lists and Calcs (Hidden)'!$AB$34:$AB$732,0))="","",
                                    INDEX('[1]5. Assess Risks'!$H$6:$H$704,MATCH('[1]Lists and Calcs (Hidden)'!AJ121,'[1]Lists and Calcs (Hidden)'!$AB$34:$AB$732,0))
))</f>
        <v/>
      </c>
      <c r="R97" s="93" t="str">
        <f>IFERROR(IF('[1]2. Prepare'!$O$50="Quantitative",INDEX('[1]Lists and Calcs (Hidden)'!$M$12:$Q$16,MATCH('[1]6. Risk Register Integration'!P97,'[1]Lists and Calcs (Hidden)'!$K$12:$K$16,0),MATCH('[1]6. Risk Register Integration'!Q97,'[1]Lists and Calcs (Hidden)'!$M$10:$Q$10,0)),INDEX('[1]Lists and Calcs (Hidden)'!$Z$12:$AD$16,MATCH('[1]6. Risk Register Integration'!P97,'[1]Lists and Calcs (Hidden)'!$X$12:$X$16,0),MATCH('[1]6. Risk Register Integration'!Q97,'[1]Lists and Calcs (Hidden)'!$Z$10:$AD$10,0))),"")</f>
        <v/>
      </c>
      <c r="S97" s="94" t="str">
        <f>IF('[1]Lists and Calcs (Hidden)'!AJ121="","",
                    IF(INDEX('[1]5. Assess Risks'!$J$6:$J$704,MATCH('[1]Lists and Calcs (Hidden)'!AJ121,'[1]Lists and Calcs (Hidden)'!$AB$34:$AB$732,0))="","",
                                    INDEX('[1]5. Assess Risks'!$J$6:$J$704,MATCH('[1]Lists and Calcs (Hidden)'!AJ121,'[1]Lists and Calcs (Hidden)'!$AB$34:$AB$732,0))
))</f>
        <v/>
      </c>
      <c r="T97" s="102"/>
      <c r="U97" s="105"/>
      <c r="V97" s="106"/>
      <c r="W97" s="105"/>
      <c r="X97" s="105"/>
      <c r="Y97" s="89" t="str">
        <f>IF('[1]Lists and Calcs (Hidden)'!AJ121="","",
                    IF(INDEX('[1]5. Assess Risks'!$L$6:$L$704,MATCH('[1]Lists and Calcs (Hidden)'!AJ121,'[1]Lists and Calcs (Hidden)'!$AB$34:$AB$732,0))="","",
                                    INDEX('[1]5. Assess Risks'!$L$6:$L$704,MATCH('[1]Lists and Calcs (Hidden)'!AJ121,'[1]Lists and Calcs (Hidden)'!$AB$34:$AB$732,0))
))</f>
        <v/>
      </c>
      <c r="Z97" s="95"/>
      <c r="AA97" s="96"/>
      <c r="AB97" s="85"/>
      <c r="AC97" s="86"/>
      <c r="AD97" s="87" t="str">
        <f>IFERROR(IF('[1]2. Prepare'!$O$50="Quantitative",INDEX('[1]Lists and Calcs (Hidden)'!$M$12:$Q$16,MATCH('[1]6. Risk Register Integration'!AB97,'[1]Lists and Calcs (Hidden)'!$K$12:$K$16,0),MATCH('[1]6. Risk Register Integration'!AC97,'[1]Lists and Calcs (Hidden)'!$M$10:$Q$10,0)),INDEX('[1]Lists and Calcs (Hidden)'!$Z$12:$AD$16,MATCH('[1]6. Risk Register Integration'!AB97,'[1]Lists and Calcs (Hidden)'!$X$12:$X$16,0),MATCH('[1]6. Risk Register Integration'!AC97,'[1]Lists and Calcs (Hidden)'!$Z$10:$AD$10,0))),"")</f>
        <v/>
      </c>
      <c r="AE97" s="54"/>
      <c r="AF97" s="4"/>
      <c r="AG97" s="4"/>
    </row>
    <row r="98" spans="2:33" ht="330" customHeight="1" x14ac:dyDescent="0.2">
      <c r="B98" s="108"/>
      <c r="C98" s="98" t="str">
        <f>IF('[1]Lists and Calcs (Hidden)'!AJ122="","",
                    IF(INDEX('[1]5. Assess Risks'!$B$6:$B$704,MATCH('[1]Lists and Calcs (Hidden)'!AJ122,'[1]Lists and Calcs (Hidden)'!$AB$34:$AB$732,0))="","",
                                    INDEX('[1]5. Assess Risks'!$B$6:$B$704,MATCH('[1]Lists and Calcs (Hidden)'!AJ122,'[1]Lists and Calcs (Hidden)'!$AB$34:$AB$732,0))
))</f>
        <v/>
      </c>
      <c r="D98" s="90" t="str">
        <f>IF(C98="", "", '[1]2. Prepare'!$E$6)</f>
        <v/>
      </c>
      <c r="E98" s="91"/>
      <c r="F98" s="91"/>
      <c r="G98" s="91"/>
      <c r="H98" s="91"/>
      <c r="I98" s="98" t="str">
        <f>IF('[1]Lists and Calcs (Hidden)'!AJ122="","",
                    IF(INDEX('[1]5. Assess Risks'!$D$6:$D$704,MATCH('[1]Lists and Calcs (Hidden)'!AJ122,'[1]Lists and Calcs (Hidden)'!$AB$34:$AB$732,0))="","",
                                    INDEX('[1]5. Assess Risks'!$D$6:$D$704,MATCH('[1]Lists and Calcs (Hidden)'!AJ122,'[1]Lists and Calcs (Hidden)'!$AB$34:$AB$732,0))
))</f>
        <v/>
      </c>
      <c r="J98" s="91"/>
      <c r="K98" s="91"/>
      <c r="L98" s="91"/>
      <c r="M98" s="91"/>
      <c r="N98" s="91"/>
      <c r="O98" s="91"/>
      <c r="P98" s="99" t="str">
        <f>IF('[1]Lists and Calcs (Hidden)'!AJ122="","",
                    IF(INDEX('[1]5. Assess Risks'!$G$6:$G$704,MATCH('[1]Lists and Calcs (Hidden)'!AJ122,'[1]Lists and Calcs (Hidden)'!$AB$34:$AB$732,0))="","",
                                    INDEX('[1]5. Assess Risks'!$G$6:$G$704,MATCH('[1]Lists and Calcs (Hidden)'!AJ122,'[1]Lists and Calcs (Hidden)'!$AB$34:$AB$732,0))
))</f>
        <v/>
      </c>
      <c r="Q98" s="99" t="str">
        <f>IF('[1]Lists and Calcs (Hidden)'!AJ122="","",
                    IF(INDEX('[1]5. Assess Risks'!$H$6:$H$704,MATCH('[1]Lists and Calcs (Hidden)'!AJ122,'[1]Lists and Calcs (Hidden)'!$AB$34:$AB$732,0))="","",
                                    INDEX('[1]5. Assess Risks'!$H$6:$H$704,MATCH('[1]Lists and Calcs (Hidden)'!AJ122,'[1]Lists and Calcs (Hidden)'!$AB$34:$AB$732,0))
))</f>
        <v/>
      </c>
      <c r="R98" s="100" t="str">
        <f>IFERROR(IF('[1]2. Prepare'!$O$50="Quantitative",INDEX('[1]Lists and Calcs (Hidden)'!$M$12:$Q$16,MATCH('[1]6. Risk Register Integration'!P98,'[1]Lists and Calcs (Hidden)'!$K$12:$K$16,0),MATCH('[1]6. Risk Register Integration'!Q98,'[1]Lists and Calcs (Hidden)'!$M$10:$Q$10,0)),INDEX('[1]Lists and Calcs (Hidden)'!$Z$12:$AD$16,MATCH('[1]6. Risk Register Integration'!P98,'[1]Lists and Calcs (Hidden)'!$X$12:$X$16,0),MATCH('[1]6. Risk Register Integration'!Q98,'[1]Lists and Calcs (Hidden)'!$Z$10:$AD$10,0))),"")</f>
        <v/>
      </c>
      <c r="S98" s="101" t="str">
        <f>IF('[1]Lists and Calcs (Hidden)'!AJ122="","",
                    IF(INDEX('[1]5. Assess Risks'!$J$6:$J$704,MATCH('[1]Lists and Calcs (Hidden)'!AJ122,'[1]Lists and Calcs (Hidden)'!$AB$34:$AB$732,0))="","",
                                    INDEX('[1]5. Assess Risks'!$J$6:$J$704,MATCH('[1]Lists and Calcs (Hidden)'!AJ122,'[1]Lists and Calcs (Hidden)'!$AB$34:$AB$732,0))
))</f>
        <v/>
      </c>
      <c r="T98" s="102"/>
      <c r="U98" s="105"/>
      <c r="V98" s="106"/>
      <c r="W98" s="105"/>
      <c r="X98" s="105"/>
      <c r="Y98" s="98" t="str">
        <f>IF('[1]Lists and Calcs (Hidden)'!AJ122="","",
                    IF(INDEX('[1]5. Assess Risks'!$L$6:$L$704,MATCH('[1]Lists and Calcs (Hidden)'!AJ122,'[1]Lists and Calcs (Hidden)'!$AB$34:$AB$732,0))="","",
                                    INDEX('[1]5. Assess Risks'!$L$6:$L$704,MATCH('[1]Lists and Calcs (Hidden)'!AJ122,'[1]Lists and Calcs (Hidden)'!$AB$34:$AB$732,0))
))</f>
        <v/>
      </c>
      <c r="Z98" s="95"/>
      <c r="AA98" s="96"/>
      <c r="AB98" s="85"/>
      <c r="AC98" s="86"/>
      <c r="AD98" s="87" t="str">
        <f>IFERROR(IF('[1]2. Prepare'!$O$50="Quantitative",INDEX('[1]Lists and Calcs (Hidden)'!$M$12:$Q$16,MATCH('[1]6. Risk Register Integration'!AB98,'[1]Lists and Calcs (Hidden)'!$K$12:$K$16,0),MATCH('[1]6. Risk Register Integration'!AC98,'[1]Lists and Calcs (Hidden)'!$M$10:$Q$10,0)),INDEX('[1]Lists and Calcs (Hidden)'!$Z$12:$AD$16,MATCH('[1]6. Risk Register Integration'!AB98,'[1]Lists and Calcs (Hidden)'!$X$12:$X$16,0),MATCH('[1]6. Risk Register Integration'!AC98,'[1]Lists and Calcs (Hidden)'!$Z$10:$AD$10,0))),"")</f>
        <v/>
      </c>
      <c r="AE98" s="54"/>
      <c r="AF98" s="4"/>
      <c r="AG98" s="4"/>
    </row>
    <row r="99" spans="2:33" ht="330" customHeight="1" x14ac:dyDescent="0.2">
      <c r="B99" s="107"/>
      <c r="C99" s="89" t="str">
        <f>IF('[1]Lists and Calcs (Hidden)'!AJ123="","",
                    IF(INDEX('[1]5. Assess Risks'!$B$6:$B$704,MATCH('[1]Lists and Calcs (Hidden)'!AJ123,'[1]Lists and Calcs (Hidden)'!$AB$34:$AB$732,0))="","",
                                    INDEX('[1]5. Assess Risks'!$B$6:$B$704,MATCH('[1]Lists and Calcs (Hidden)'!AJ123,'[1]Lists and Calcs (Hidden)'!$AB$34:$AB$732,0))
))</f>
        <v/>
      </c>
      <c r="D99" s="90" t="str">
        <f>IF(C99="", "", '[1]2. Prepare'!$E$6)</f>
        <v/>
      </c>
      <c r="E99" s="91"/>
      <c r="F99" s="91"/>
      <c r="G99" s="91"/>
      <c r="H99" s="91"/>
      <c r="I99" s="89" t="str">
        <f>IF('[1]Lists and Calcs (Hidden)'!AJ123="","",
                    IF(INDEX('[1]5. Assess Risks'!$D$6:$D$704,MATCH('[1]Lists and Calcs (Hidden)'!AJ123,'[1]Lists and Calcs (Hidden)'!$AB$34:$AB$732,0))="","",
                                    INDEX('[1]5. Assess Risks'!$D$6:$D$704,MATCH('[1]Lists and Calcs (Hidden)'!AJ123,'[1]Lists and Calcs (Hidden)'!$AB$34:$AB$732,0))
))</f>
        <v/>
      </c>
      <c r="J99" s="91"/>
      <c r="K99" s="91"/>
      <c r="L99" s="91"/>
      <c r="M99" s="91"/>
      <c r="N99" s="91"/>
      <c r="O99" s="91"/>
      <c r="P99" s="92" t="str">
        <f>IF('[1]Lists and Calcs (Hidden)'!AJ123="","",
                    IF(INDEX('[1]5. Assess Risks'!$G$6:$G$704,MATCH('[1]Lists and Calcs (Hidden)'!AJ123,'[1]Lists and Calcs (Hidden)'!$AB$34:$AB$732,0))="","",
                                    INDEX('[1]5. Assess Risks'!$G$6:$G$704,MATCH('[1]Lists and Calcs (Hidden)'!AJ123,'[1]Lists and Calcs (Hidden)'!$AB$34:$AB$732,0))
))</f>
        <v/>
      </c>
      <c r="Q99" s="92" t="str">
        <f>IF('[1]Lists and Calcs (Hidden)'!AJ123="","",
                    IF(INDEX('[1]5. Assess Risks'!$H$6:$H$704,MATCH('[1]Lists and Calcs (Hidden)'!AJ123,'[1]Lists and Calcs (Hidden)'!$AB$34:$AB$732,0))="","",
                                    INDEX('[1]5. Assess Risks'!$H$6:$H$704,MATCH('[1]Lists and Calcs (Hidden)'!AJ123,'[1]Lists and Calcs (Hidden)'!$AB$34:$AB$732,0))
))</f>
        <v/>
      </c>
      <c r="R99" s="93" t="str">
        <f>IFERROR(IF('[1]2. Prepare'!$O$50="Quantitative",INDEX('[1]Lists and Calcs (Hidden)'!$M$12:$Q$16,MATCH('[1]6. Risk Register Integration'!P99,'[1]Lists and Calcs (Hidden)'!$K$12:$K$16,0),MATCH('[1]6. Risk Register Integration'!Q99,'[1]Lists and Calcs (Hidden)'!$M$10:$Q$10,0)),INDEX('[1]Lists and Calcs (Hidden)'!$Z$12:$AD$16,MATCH('[1]6. Risk Register Integration'!P99,'[1]Lists and Calcs (Hidden)'!$X$12:$X$16,0),MATCH('[1]6. Risk Register Integration'!Q99,'[1]Lists and Calcs (Hidden)'!$Z$10:$AD$10,0))),"")</f>
        <v/>
      </c>
      <c r="S99" s="94" t="str">
        <f>IF('[1]Lists and Calcs (Hidden)'!AJ123="","",
                    IF(INDEX('[1]5. Assess Risks'!$J$6:$J$704,MATCH('[1]Lists and Calcs (Hidden)'!AJ123,'[1]Lists and Calcs (Hidden)'!$AB$34:$AB$732,0))="","",
                                    INDEX('[1]5. Assess Risks'!$J$6:$J$704,MATCH('[1]Lists and Calcs (Hidden)'!AJ123,'[1]Lists and Calcs (Hidden)'!$AB$34:$AB$732,0))
))</f>
        <v/>
      </c>
      <c r="T99" s="102"/>
      <c r="U99" s="105"/>
      <c r="V99" s="106"/>
      <c r="W99" s="105"/>
      <c r="X99" s="105"/>
      <c r="Y99" s="89" t="str">
        <f>IF('[1]Lists and Calcs (Hidden)'!AJ123="","",
                    IF(INDEX('[1]5. Assess Risks'!$L$6:$L$704,MATCH('[1]Lists and Calcs (Hidden)'!AJ123,'[1]Lists and Calcs (Hidden)'!$AB$34:$AB$732,0))="","",
                                    INDEX('[1]5. Assess Risks'!$L$6:$L$704,MATCH('[1]Lists and Calcs (Hidden)'!AJ123,'[1]Lists and Calcs (Hidden)'!$AB$34:$AB$732,0))
))</f>
        <v/>
      </c>
      <c r="Z99" s="95"/>
      <c r="AA99" s="96"/>
      <c r="AB99" s="85"/>
      <c r="AC99" s="86"/>
      <c r="AD99" s="87" t="str">
        <f>IFERROR(IF('[1]2. Prepare'!$O$50="Quantitative",INDEX('[1]Lists and Calcs (Hidden)'!$M$12:$Q$16,MATCH('[1]6. Risk Register Integration'!AB99,'[1]Lists and Calcs (Hidden)'!$K$12:$K$16,0),MATCH('[1]6. Risk Register Integration'!AC99,'[1]Lists and Calcs (Hidden)'!$M$10:$Q$10,0)),INDEX('[1]Lists and Calcs (Hidden)'!$Z$12:$AD$16,MATCH('[1]6. Risk Register Integration'!AB99,'[1]Lists and Calcs (Hidden)'!$X$12:$X$16,0),MATCH('[1]6. Risk Register Integration'!AC99,'[1]Lists and Calcs (Hidden)'!$Z$10:$AD$10,0))),"")</f>
        <v/>
      </c>
      <c r="AE99" s="54"/>
      <c r="AF99" s="4"/>
      <c r="AG99" s="4"/>
    </row>
    <row r="100" spans="2:33" ht="330" customHeight="1" x14ac:dyDescent="0.2">
      <c r="B100" s="107"/>
      <c r="C100" s="98" t="str">
        <f>IF('[1]Lists and Calcs (Hidden)'!AJ124="","",
                    IF(INDEX('[1]5. Assess Risks'!$B$6:$B$704,MATCH('[1]Lists and Calcs (Hidden)'!AJ124,'[1]Lists and Calcs (Hidden)'!$AB$34:$AB$732,0))="","",
                                    INDEX('[1]5. Assess Risks'!$B$6:$B$704,MATCH('[1]Lists and Calcs (Hidden)'!AJ124,'[1]Lists and Calcs (Hidden)'!$AB$34:$AB$732,0))
))</f>
        <v/>
      </c>
      <c r="D100" s="90" t="str">
        <f>IF(C100="", "", '[1]2. Prepare'!$E$6)</f>
        <v/>
      </c>
      <c r="E100" s="91"/>
      <c r="F100" s="91"/>
      <c r="G100" s="91"/>
      <c r="H100" s="91"/>
      <c r="I100" s="98" t="str">
        <f>IF('[1]Lists and Calcs (Hidden)'!AJ124="","",
                    IF(INDEX('[1]5. Assess Risks'!$D$6:$D$704,MATCH('[1]Lists and Calcs (Hidden)'!AJ124,'[1]Lists and Calcs (Hidden)'!$AB$34:$AB$732,0))="","",
                                    INDEX('[1]5. Assess Risks'!$D$6:$D$704,MATCH('[1]Lists and Calcs (Hidden)'!AJ124,'[1]Lists and Calcs (Hidden)'!$AB$34:$AB$732,0))
))</f>
        <v/>
      </c>
      <c r="J100" s="91"/>
      <c r="K100" s="91"/>
      <c r="L100" s="91"/>
      <c r="M100" s="91"/>
      <c r="N100" s="91"/>
      <c r="O100" s="91"/>
      <c r="P100" s="99" t="str">
        <f>IF('[1]Lists and Calcs (Hidden)'!AJ124="","",
                    IF(INDEX('[1]5. Assess Risks'!$G$6:$G$704,MATCH('[1]Lists and Calcs (Hidden)'!AJ124,'[1]Lists and Calcs (Hidden)'!$AB$34:$AB$732,0))="","",
                                    INDEX('[1]5. Assess Risks'!$G$6:$G$704,MATCH('[1]Lists and Calcs (Hidden)'!AJ124,'[1]Lists and Calcs (Hidden)'!$AB$34:$AB$732,0))
))</f>
        <v/>
      </c>
      <c r="Q100" s="99" t="str">
        <f>IF('[1]Lists and Calcs (Hidden)'!AJ124="","",
                    IF(INDEX('[1]5. Assess Risks'!$H$6:$H$704,MATCH('[1]Lists and Calcs (Hidden)'!AJ124,'[1]Lists and Calcs (Hidden)'!$AB$34:$AB$732,0))="","",
                                    INDEX('[1]5. Assess Risks'!$H$6:$H$704,MATCH('[1]Lists and Calcs (Hidden)'!AJ124,'[1]Lists and Calcs (Hidden)'!$AB$34:$AB$732,0))
))</f>
        <v/>
      </c>
      <c r="R100" s="100" t="str">
        <f>IFERROR(IF('[1]2. Prepare'!$O$50="Quantitative",INDEX('[1]Lists and Calcs (Hidden)'!$M$12:$Q$16,MATCH('[1]6. Risk Register Integration'!P100,'[1]Lists and Calcs (Hidden)'!$K$12:$K$16,0),MATCH('[1]6. Risk Register Integration'!Q100,'[1]Lists and Calcs (Hidden)'!$M$10:$Q$10,0)),INDEX('[1]Lists and Calcs (Hidden)'!$Z$12:$AD$16,MATCH('[1]6. Risk Register Integration'!P100,'[1]Lists and Calcs (Hidden)'!$X$12:$X$16,0),MATCH('[1]6. Risk Register Integration'!Q100,'[1]Lists and Calcs (Hidden)'!$Z$10:$AD$10,0))),"")</f>
        <v/>
      </c>
      <c r="S100" s="101" t="str">
        <f>IF('[1]Lists and Calcs (Hidden)'!AJ124="","",
                    IF(INDEX('[1]5. Assess Risks'!$J$6:$J$704,MATCH('[1]Lists and Calcs (Hidden)'!AJ124,'[1]Lists and Calcs (Hidden)'!$AB$34:$AB$732,0))="","",
                                    INDEX('[1]5. Assess Risks'!$J$6:$J$704,MATCH('[1]Lists and Calcs (Hidden)'!AJ124,'[1]Lists and Calcs (Hidden)'!$AB$34:$AB$732,0))
))</f>
        <v/>
      </c>
      <c r="T100" s="102"/>
      <c r="U100" s="105"/>
      <c r="V100" s="106"/>
      <c r="W100" s="105"/>
      <c r="X100" s="105"/>
      <c r="Y100" s="98" t="str">
        <f>IF('[1]Lists and Calcs (Hidden)'!AJ124="","",
                    IF(INDEX('[1]5. Assess Risks'!$L$6:$L$704,MATCH('[1]Lists and Calcs (Hidden)'!AJ124,'[1]Lists and Calcs (Hidden)'!$AB$34:$AB$732,0))="","",
                                    INDEX('[1]5. Assess Risks'!$L$6:$L$704,MATCH('[1]Lists and Calcs (Hidden)'!AJ124,'[1]Lists and Calcs (Hidden)'!$AB$34:$AB$732,0))
))</f>
        <v/>
      </c>
      <c r="Z100" s="95"/>
      <c r="AA100" s="96"/>
      <c r="AB100" s="85"/>
      <c r="AC100" s="86"/>
      <c r="AD100" s="87" t="str">
        <f>IFERROR(IF('[1]2. Prepare'!$O$50="Quantitative",INDEX('[1]Lists and Calcs (Hidden)'!$M$12:$Q$16,MATCH('[1]6. Risk Register Integration'!AB100,'[1]Lists and Calcs (Hidden)'!$K$12:$K$16,0),MATCH('[1]6. Risk Register Integration'!AC100,'[1]Lists and Calcs (Hidden)'!$M$10:$Q$10,0)),INDEX('[1]Lists and Calcs (Hidden)'!$Z$12:$AD$16,MATCH('[1]6. Risk Register Integration'!AB100,'[1]Lists and Calcs (Hidden)'!$X$12:$X$16,0),MATCH('[1]6. Risk Register Integration'!AC100,'[1]Lists and Calcs (Hidden)'!$Z$10:$AD$10,0))),"")</f>
        <v/>
      </c>
      <c r="AE100" s="54"/>
      <c r="AF100" s="4"/>
      <c r="AG100" s="4"/>
    </row>
    <row r="101" spans="2:33" ht="330" customHeight="1" x14ac:dyDescent="0.2">
      <c r="B101" s="107"/>
      <c r="C101" s="89" t="str">
        <f>IF('[1]Lists and Calcs (Hidden)'!AJ125="","",
                    IF(INDEX('[1]5. Assess Risks'!$B$6:$B$704,MATCH('[1]Lists and Calcs (Hidden)'!AJ125,'[1]Lists and Calcs (Hidden)'!$AB$34:$AB$732,0))="","",
                                    INDEX('[1]5. Assess Risks'!$B$6:$B$704,MATCH('[1]Lists and Calcs (Hidden)'!AJ125,'[1]Lists and Calcs (Hidden)'!$AB$34:$AB$732,0))
))</f>
        <v/>
      </c>
      <c r="D101" s="90" t="str">
        <f>IF(C101="", "", '[1]2. Prepare'!$E$6)</f>
        <v/>
      </c>
      <c r="E101" s="91"/>
      <c r="F101" s="91"/>
      <c r="G101" s="91"/>
      <c r="H101" s="91"/>
      <c r="I101" s="89" t="str">
        <f>IF('[1]Lists and Calcs (Hidden)'!AJ125="","",
                    IF(INDEX('[1]5. Assess Risks'!$D$6:$D$704,MATCH('[1]Lists and Calcs (Hidden)'!AJ125,'[1]Lists and Calcs (Hidden)'!$AB$34:$AB$732,0))="","",
                                    INDEX('[1]5. Assess Risks'!$D$6:$D$704,MATCH('[1]Lists and Calcs (Hidden)'!AJ125,'[1]Lists and Calcs (Hidden)'!$AB$34:$AB$732,0))
))</f>
        <v/>
      </c>
      <c r="J101" s="91"/>
      <c r="K101" s="91"/>
      <c r="L101" s="91"/>
      <c r="M101" s="91"/>
      <c r="N101" s="91"/>
      <c r="O101" s="91"/>
      <c r="P101" s="92" t="str">
        <f>IF('[1]Lists and Calcs (Hidden)'!AJ125="","",
                    IF(INDEX('[1]5. Assess Risks'!$G$6:$G$704,MATCH('[1]Lists and Calcs (Hidden)'!AJ125,'[1]Lists and Calcs (Hidden)'!$AB$34:$AB$732,0))="","",
                                    INDEX('[1]5. Assess Risks'!$G$6:$G$704,MATCH('[1]Lists and Calcs (Hidden)'!AJ125,'[1]Lists and Calcs (Hidden)'!$AB$34:$AB$732,0))
))</f>
        <v/>
      </c>
      <c r="Q101" s="92" t="str">
        <f>IF('[1]Lists and Calcs (Hidden)'!AJ125="","",
                    IF(INDEX('[1]5. Assess Risks'!$H$6:$H$704,MATCH('[1]Lists and Calcs (Hidden)'!AJ125,'[1]Lists and Calcs (Hidden)'!$AB$34:$AB$732,0))="","",
                                    INDEX('[1]5. Assess Risks'!$H$6:$H$704,MATCH('[1]Lists and Calcs (Hidden)'!AJ125,'[1]Lists and Calcs (Hidden)'!$AB$34:$AB$732,0))
))</f>
        <v/>
      </c>
      <c r="R101" s="93" t="str">
        <f>IFERROR(IF('[1]2. Prepare'!$O$50="Quantitative",INDEX('[1]Lists and Calcs (Hidden)'!$M$12:$Q$16,MATCH('[1]6. Risk Register Integration'!P101,'[1]Lists and Calcs (Hidden)'!$K$12:$K$16,0),MATCH('[1]6. Risk Register Integration'!Q101,'[1]Lists and Calcs (Hidden)'!$M$10:$Q$10,0)),INDEX('[1]Lists and Calcs (Hidden)'!$Z$12:$AD$16,MATCH('[1]6. Risk Register Integration'!P101,'[1]Lists and Calcs (Hidden)'!$X$12:$X$16,0),MATCH('[1]6. Risk Register Integration'!Q101,'[1]Lists and Calcs (Hidden)'!$Z$10:$AD$10,0))),"")</f>
        <v/>
      </c>
      <c r="S101" s="94" t="str">
        <f>IF('[1]Lists and Calcs (Hidden)'!AJ125="","",
                    IF(INDEX('[1]5. Assess Risks'!$J$6:$J$704,MATCH('[1]Lists and Calcs (Hidden)'!AJ125,'[1]Lists and Calcs (Hidden)'!$AB$34:$AB$732,0))="","",
                                    INDEX('[1]5. Assess Risks'!$J$6:$J$704,MATCH('[1]Lists and Calcs (Hidden)'!AJ125,'[1]Lists and Calcs (Hidden)'!$AB$34:$AB$732,0))
))</f>
        <v/>
      </c>
      <c r="T101" s="102"/>
      <c r="U101" s="105"/>
      <c r="V101" s="106"/>
      <c r="W101" s="105"/>
      <c r="X101" s="105"/>
      <c r="Y101" s="89" t="str">
        <f>IF('[1]Lists and Calcs (Hidden)'!AJ125="","",
                    IF(INDEX('[1]5. Assess Risks'!$L$6:$L$704,MATCH('[1]Lists and Calcs (Hidden)'!AJ125,'[1]Lists and Calcs (Hidden)'!$AB$34:$AB$732,0))="","",
                                    INDEX('[1]5. Assess Risks'!$L$6:$L$704,MATCH('[1]Lists and Calcs (Hidden)'!AJ125,'[1]Lists and Calcs (Hidden)'!$AB$34:$AB$732,0))
))</f>
        <v/>
      </c>
      <c r="Z101" s="95"/>
      <c r="AA101" s="96"/>
      <c r="AB101" s="85"/>
      <c r="AC101" s="86"/>
      <c r="AD101" s="87" t="str">
        <f>IFERROR(IF('[1]2. Prepare'!$O$50="Quantitative",INDEX('[1]Lists and Calcs (Hidden)'!$M$12:$Q$16,MATCH('[1]6. Risk Register Integration'!AB101,'[1]Lists and Calcs (Hidden)'!$K$12:$K$16,0),MATCH('[1]6. Risk Register Integration'!AC101,'[1]Lists and Calcs (Hidden)'!$M$10:$Q$10,0)),INDEX('[1]Lists and Calcs (Hidden)'!$Z$12:$AD$16,MATCH('[1]6. Risk Register Integration'!AB101,'[1]Lists and Calcs (Hidden)'!$X$12:$X$16,0),MATCH('[1]6. Risk Register Integration'!AC101,'[1]Lists and Calcs (Hidden)'!$Z$10:$AD$10,0))),"")</f>
        <v/>
      </c>
      <c r="AE101" s="54"/>
      <c r="AF101" s="4"/>
      <c r="AG101" s="4"/>
    </row>
    <row r="102" spans="2:33" ht="330" customHeight="1" x14ac:dyDescent="0.2">
      <c r="B102" s="107"/>
      <c r="C102" s="98" t="str">
        <f>IF('[1]Lists and Calcs (Hidden)'!AJ126="","",
                    IF(INDEX('[1]5. Assess Risks'!$B$6:$B$704,MATCH('[1]Lists and Calcs (Hidden)'!AJ126,'[1]Lists and Calcs (Hidden)'!$AB$34:$AB$732,0))="","",
                                    INDEX('[1]5. Assess Risks'!$B$6:$B$704,MATCH('[1]Lists and Calcs (Hidden)'!AJ126,'[1]Lists and Calcs (Hidden)'!$AB$34:$AB$732,0))
))</f>
        <v/>
      </c>
      <c r="D102" s="90" t="str">
        <f>IF(C102="", "", '[1]2. Prepare'!$E$6)</f>
        <v/>
      </c>
      <c r="E102" s="91"/>
      <c r="F102" s="91"/>
      <c r="G102" s="91"/>
      <c r="H102" s="91"/>
      <c r="I102" s="98" t="str">
        <f>IF('[1]Lists and Calcs (Hidden)'!AJ126="","",
                    IF(INDEX('[1]5. Assess Risks'!$D$6:$D$704,MATCH('[1]Lists and Calcs (Hidden)'!AJ126,'[1]Lists and Calcs (Hidden)'!$AB$34:$AB$732,0))="","",
                                    INDEX('[1]5. Assess Risks'!$D$6:$D$704,MATCH('[1]Lists and Calcs (Hidden)'!AJ126,'[1]Lists and Calcs (Hidden)'!$AB$34:$AB$732,0))
))</f>
        <v/>
      </c>
      <c r="J102" s="91"/>
      <c r="K102" s="91"/>
      <c r="L102" s="91"/>
      <c r="M102" s="91"/>
      <c r="N102" s="91"/>
      <c r="O102" s="91"/>
      <c r="P102" s="99" t="str">
        <f>IF('[1]Lists and Calcs (Hidden)'!AJ126="","",
                    IF(INDEX('[1]5. Assess Risks'!$G$6:$G$704,MATCH('[1]Lists and Calcs (Hidden)'!AJ126,'[1]Lists and Calcs (Hidden)'!$AB$34:$AB$732,0))="","",
                                    INDEX('[1]5. Assess Risks'!$G$6:$G$704,MATCH('[1]Lists and Calcs (Hidden)'!AJ126,'[1]Lists and Calcs (Hidden)'!$AB$34:$AB$732,0))
))</f>
        <v/>
      </c>
      <c r="Q102" s="99" t="str">
        <f>IF('[1]Lists and Calcs (Hidden)'!AJ126="","",
                    IF(INDEX('[1]5. Assess Risks'!$H$6:$H$704,MATCH('[1]Lists and Calcs (Hidden)'!AJ126,'[1]Lists and Calcs (Hidden)'!$AB$34:$AB$732,0))="","",
                                    INDEX('[1]5. Assess Risks'!$H$6:$H$704,MATCH('[1]Lists and Calcs (Hidden)'!AJ126,'[1]Lists and Calcs (Hidden)'!$AB$34:$AB$732,0))
))</f>
        <v/>
      </c>
      <c r="R102" s="100" t="str">
        <f>IFERROR(IF('[1]2. Prepare'!$O$50="Quantitative",INDEX('[1]Lists and Calcs (Hidden)'!$M$12:$Q$16,MATCH('[1]6. Risk Register Integration'!P102,'[1]Lists and Calcs (Hidden)'!$K$12:$K$16,0),MATCH('[1]6. Risk Register Integration'!Q102,'[1]Lists and Calcs (Hidden)'!$M$10:$Q$10,0)),INDEX('[1]Lists and Calcs (Hidden)'!$Z$12:$AD$16,MATCH('[1]6. Risk Register Integration'!P102,'[1]Lists and Calcs (Hidden)'!$X$12:$X$16,0),MATCH('[1]6. Risk Register Integration'!Q102,'[1]Lists and Calcs (Hidden)'!$Z$10:$AD$10,0))),"")</f>
        <v/>
      </c>
      <c r="S102" s="101" t="str">
        <f>IF('[1]Lists and Calcs (Hidden)'!AJ126="","",
                    IF(INDEX('[1]5. Assess Risks'!$J$6:$J$704,MATCH('[1]Lists and Calcs (Hidden)'!AJ126,'[1]Lists and Calcs (Hidden)'!$AB$34:$AB$732,0))="","",
                                    INDEX('[1]5. Assess Risks'!$J$6:$J$704,MATCH('[1]Lists and Calcs (Hidden)'!AJ126,'[1]Lists and Calcs (Hidden)'!$AB$34:$AB$732,0))
))</f>
        <v/>
      </c>
      <c r="T102" s="102"/>
      <c r="U102" s="105"/>
      <c r="V102" s="106"/>
      <c r="W102" s="105"/>
      <c r="X102" s="105"/>
      <c r="Y102" s="98" t="str">
        <f>IF('[1]Lists and Calcs (Hidden)'!AJ126="","",
                    IF(INDEX('[1]5. Assess Risks'!$L$6:$L$704,MATCH('[1]Lists and Calcs (Hidden)'!AJ126,'[1]Lists and Calcs (Hidden)'!$AB$34:$AB$732,0))="","",
                                    INDEX('[1]5. Assess Risks'!$L$6:$L$704,MATCH('[1]Lists and Calcs (Hidden)'!AJ126,'[1]Lists and Calcs (Hidden)'!$AB$34:$AB$732,0))
))</f>
        <v/>
      </c>
      <c r="Z102" s="95"/>
      <c r="AA102" s="96"/>
      <c r="AB102" s="85"/>
      <c r="AC102" s="86"/>
      <c r="AD102" s="87" t="str">
        <f>IFERROR(IF('[1]2. Prepare'!$O$50="Quantitative",INDEX('[1]Lists and Calcs (Hidden)'!$M$12:$Q$16,MATCH('[1]6. Risk Register Integration'!AB102,'[1]Lists and Calcs (Hidden)'!$K$12:$K$16,0),MATCH('[1]6. Risk Register Integration'!AC102,'[1]Lists and Calcs (Hidden)'!$M$10:$Q$10,0)),INDEX('[1]Lists and Calcs (Hidden)'!$Z$12:$AD$16,MATCH('[1]6. Risk Register Integration'!AB102,'[1]Lists and Calcs (Hidden)'!$X$12:$X$16,0),MATCH('[1]6. Risk Register Integration'!AC102,'[1]Lists and Calcs (Hidden)'!$Z$10:$AD$10,0))),"")</f>
        <v/>
      </c>
      <c r="AE102" s="54"/>
      <c r="AF102" s="4"/>
      <c r="AG102" s="4"/>
    </row>
    <row r="103" spans="2:33" ht="330" customHeight="1" x14ac:dyDescent="0.2">
      <c r="B103" s="107"/>
      <c r="C103" s="89" t="str">
        <f>IF('[1]Lists and Calcs (Hidden)'!AJ127="","",
                    IF(INDEX('[1]5. Assess Risks'!$B$6:$B$704,MATCH('[1]Lists and Calcs (Hidden)'!AJ127,'[1]Lists and Calcs (Hidden)'!$AB$34:$AB$732,0))="","",
                                    INDEX('[1]5. Assess Risks'!$B$6:$B$704,MATCH('[1]Lists and Calcs (Hidden)'!AJ127,'[1]Lists and Calcs (Hidden)'!$AB$34:$AB$732,0))
))</f>
        <v/>
      </c>
      <c r="D103" s="90" t="str">
        <f>IF(C103="", "", '[1]2. Prepare'!$E$6)</f>
        <v/>
      </c>
      <c r="E103" s="91"/>
      <c r="F103" s="91"/>
      <c r="G103" s="91"/>
      <c r="H103" s="91"/>
      <c r="I103" s="89" t="str">
        <f>IF('[1]Lists and Calcs (Hidden)'!AJ127="","",
                    IF(INDEX('[1]5. Assess Risks'!$D$6:$D$704,MATCH('[1]Lists and Calcs (Hidden)'!AJ127,'[1]Lists and Calcs (Hidden)'!$AB$34:$AB$732,0))="","",
                                    INDEX('[1]5. Assess Risks'!$D$6:$D$704,MATCH('[1]Lists and Calcs (Hidden)'!AJ127,'[1]Lists and Calcs (Hidden)'!$AB$34:$AB$732,0))
))</f>
        <v/>
      </c>
      <c r="J103" s="91"/>
      <c r="K103" s="91"/>
      <c r="L103" s="91"/>
      <c r="M103" s="91"/>
      <c r="N103" s="91"/>
      <c r="O103" s="91"/>
      <c r="P103" s="92" t="str">
        <f>IF('[1]Lists and Calcs (Hidden)'!AJ127="","",
                    IF(INDEX('[1]5. Assess Risks'!$G$6:$G$704,MATCH('[1]Lists and Calcs (Hidden)'!AJ127,'[1]Lists and Calcs (Hidden)'!$AB$34:$AB$732,0))="","",
                                    INDEX('[1]5. Assess Risks'!$G$6:$G$704,MATCH('[1]Lists and Calcs (Hidden)'!AJ127,'[1]Lists and Calcs (Hidden)'!$AB$34:$AB$732,0))
))</f>
        <v/>
      </c>
      <c r="Q103" s="92" t="str">
        <f>IF('[1]Lists and Calcs (Hidden)'!AJ127="","",
                    IF(INDEX('[1]5. Assess Risks'!$H$6:$H$704,MATCH('[1]Lists and Calcs (Hidden)'!AJ127,'[1]Lists and Calcs (Hidden)'!$AB$34:$AB$732,0))="","",
                                    INDEX('[1]5. Assess Risks'!$H$6:$H$704,MATCH('[1]Lists and Calcs (Hidden)'!AJ127,'[1]Lists and Calcs (Hidden)'!$AB$34:$AB$732,0))
))</f>
        <v/>
      </c>
      <c r="R103" s="93" t="str">
        <f>IFERROR(IF('[1]2. Prepare'!$O$50="Quantitative",INDEX('[1]Lists and Calcs (Hidden)'!$M$12:$Q$16,MATCH('[1]6. Risk Register Integration'!P103,'[1]Lists and Calcs (Hidden)'!$K$12:$K$16,0),MATCH('[1]6. Risk Register Integration'!Q103,'[1]Lists and Calcs (Hidden)'!$M$10:$Q$10,0)),INDEX('[1]Lists and Calcs (Hidden)'!$Z$12:$AD$16,MATCH('[1]6. Risk Register Integration'!P103,'[1]Lists and Calcs (Hidden)'!$X$12:$X$16,0),MATCH('[1]6. Risk Register Integration'!Q103,'[1]Lists and Calcs (Hidden)'!$Z$10:$AD$10,0))),"")</f>
        <v/>
      </c>
      <c r="S103" s="94" t="str">
        <f>IF('[1]Lists and Calcs (Hidden)'!AJ127="","",
                    IF(INDEX('[1]5. Assess Risks'!$J$6:$J$704,MATCH('[1]Lists and Calcs (Hidden)'!AJ127,'[1]Lists and Calcs (Hidden)'!$AB$34:$AB$732,0))="","",
                                    INDEX('[1]5. Assess Risks'!$J$6:$J$704,MATCH('[1]Lists and Calcs (Hidden)'!AJ127,'[1]Lists and Calcs (Hidden)'!$AB$34:$AB$732,0))
))</f>
        <v/>
      </c>
      <c r="T103" s="102"/>
      <c r="U103" s="105"/>
      <c r="V103" s="106"/>
      <c r="W103" s="105"/>
      <c r="X103" s="105"/>
      <c r="Y103" s="89" t="str">
        <f>IF('[1]Lists and Calcs (Hidden)'!AJ127="","",
                    IF(INDEX('[1]5. Assess Risks'!$L$6:$L$704,MATCH('[1]Lists and Calcs (Hidden)'!AJ127,'[1]Lists and Calcs (Hidden)'!$AB$34:$AB$732,0))="","",
                                    INDEX('[1]5. Assess Risks'!$L$6:$L$704,MATCH('[1]Lists and Calcs (Hidden)'!AJ127,'[1]Lists and Calcs (Hidden)'!$AB$34:$AB$732,0))
))</f>
        <v/>
      </c>
      <c r="Z103" s="95"/>
      <c r="AA103" s="96"/>
      <c r="AB103" s="85"/>
      <c r="AC103" s="86"/>
      <c r="AD103" s="87" t="str">
        <f>IFERROR(IF('[1]2. Prepare'!$O$50="Quantitative",INDEX('[1]Lists and Calcs (Hidden)'!$M$12:$Q$16,MATCH('[1]6. Risk Register Integration'!AB103,'[1]Lists and Calcs (Hidden)'!$K$12:$K$16,0),MATCH('[1]6. Risk Register Integration'!AC103,'[1]Lists and Calcs (Hidden)'!$M$10:$Q$10,0)),INDEX('[1]Lists and Calcs (Hidden)'!$Z$12:$AD$16,MATCH('[1]6. Risk Register Integration'!AB103,'[1]Lists and Calcs (Hidden)'!$X$12:$X$16,0),MATCH('[1]6. Risk Register Integration'!AC103,'[1]Lists and Calcs (Hidden)'!$Z$10:$AD$10,0))),"")</f>
        <v/>
      </c>
      <c r="AE103" s="54"/>
      <c r="AF103" s="4"/>
      <c r="AG103" s="4"/>
    </row>
    <row r="104" spans="2:33" ht="330" customHeight="1" x14ac:dyDescent="0.2">
      <c r="B104" s="108"/>
      <c r="C104" s="98" t="str">
        <f>IF('[1]Lists and Calcs (Hidden)'!AJ128="","",
                    IF(INDEX('[1]5. Assess Risks'!$B$6:$B$704,MATCH('[1]Lists and Calcs (Hidden)'!AJ128,'[1]Lists and Calcs (Hidden)'!$AB$34:$AB$732,0))="","",
                                    INDEX('[1]5. Assess Risks'!$B$6:$B$704,MATCH('[1]Lists and Calcs (Hidden)'!AJ128,'[1]Lists and Calcs (Hidden)'!$AB$34:$AB$732,0))
))</f>
        <v/>
      </c>
      <c r="D104" s="90" t="str">
        <f>IF(C104="", "", '[1]2. Prepare'!$E$6)</f>
        <v/>
      </c>
      <c r="E104" s="91"/>
      <c r="F104" s="91"/>
      <c r="G104" s="91"/>
      <c r="H104" s="91"/>
      <c r="I104" s="98" t="str">
        <f>IF('[1]Lists and Calcs (Hidden)'!AJ128="","",
                    IF(INDEX('[1]5. Assess Risks'!$D$6:$D$704,MATCH('[1]Lists and Calcs (Hidden)'!AJ128,'[1]Lists and Calcs (Hidden)'!$AB$34:$AB$732,0))="","",
                                    INDEX('[1]5. Assess Risks'!$D$6:$D$704,MATCH('[1]Lists and Calcs (Hidden)'!AJ128,'[1]Lists and Calcs (Hidden)'!$AB$34:$AB$732,0))
))</f>
        <v/>
      </c>
      <c r="J104" s="91"/>
      <c r="K104" s="91"/>
      <c r="L104" s="91"/>
      <c r="M104" s="91"/>
      <c r="N104" s="91"/>
      <c r="O104" s="91"/>
      <c r="P104" s="99" t="str">
        <f>IF('[1]Lists and Calcs (Hidden)'!AJ128="","",
                    IF(INDEX('[1]5. Assess Risks'!$G$6:$G$704,MATCH('[1]Lists and Calcs (Hidden)'!AJ128,'[1]Lists and Calcs (Hidden)'!$AB$34:$AB$732,0))="","",
                                    INDEX('[1]5. Assess Risks'!$G$6:$G$704,MATCH('[1]Lists and Calcs (Hidden)'!AJ128,'[1]Lists and Calcs (Hidden)'!$AB$34:$AB$732,0))
))</f>
        <v/>
      </c>
      <c r="Q104" s="99" t="str">
        <f>IF('[1]Lists and Calcs (Hidden)'!AJ128="","",
                    IF(INDEX('[1]5. Assess Risks'!$H$6:$H$704,MATCH('[1]Lists and Calcs (Hidden)'!AJ128,'[1]Lists and Calcs (Hidden)'!$AB$34:$AB$732,0))="","",
                                    INDEX('[1]5. Assess Risks'!$H$6:$H$704,MATCH('[1]Lists and Calcs (Hidden)'!AJ128,'[1]Lists and Calcs (Hidden)'!$AB$34:$AB$732,0))
))</f>
        <v/>
      </c>
      <c r="R104" s="100" t="str">
        <f>IFERROR(IF('[1]2. Prepare'!$O$50="Quantitative",INDEX('[1]Lists and Calcs (Hidden)'!$M$12:$Q$16,MATCH('[1]6. Risk Register Integration'!P104,'[1]Lists and Calcs (Hidden)'!$K$12:$K$16,0),MATCH('[1]6. Risk Register Integration'!Q104,'[1]Lists and Calcs (Hidden)'!$M$10:$Q$10,0)),INDEX('[1]Lists and Calcs (Hidden)'!$Z$12:$AD$16,MATCH('[1]6. Risk Register Integration'!P104,'[1]Lists and Calcs (Hidden)'!$X$12:$X$16,0),MATCH('[1]6. Risk Register Integration'!Q104,'[1]Lists and Calcs (Hidden)'!$Z$10:$AD$10,0))),"")</f>
        <v/>
      </c>
      <c r="S104" s="101" t="str">
        <f>IF('[1]Lists and Calcs (Hidden)'!AJ128="","",
                    IF(INDEX('[1]5. Assess Risks'!$J$6:$J$704,MATCH('[1]Lists and Calcs (Hidden)'!AJ128,'[1]Lists and Calcs (Hidden)'!$AB$34:$AB$732,0))="","",
                                    INDEX('[1]5. Assess Risks'!$J$6:$J$704,MATCH('[1]Lists and Calcs (Hidden)'!AJ128,'[1]Lists and Calcs (Hidden)'!$AB$34:$AB$732,0))
))</f>
        <v/>
      </c>
      <c r="T104" s="102"/>
      <c r="U104" s="105"/>
      <c r="V104" s="106"/>
      <c r="W104" s="105"/>
      <c r="X104" s="105"/>
      <c r="Y104" s="98" t="str">
        <f>IF('[1]Lists and Calcs (Hidden)'!AJ128="","",
                    IF(INDEX('[1]5. Assess Risks'!$L$6:$L$704,MATCH('[1]Lists and Calcs (Hidden)'!AJ128,'[1]Lists and Calcs (Hidden)'!$AB$34:$AB$732,0))="","",
                                    INDEX('[1]5. Assess Risks'!$L$6:$L$704,MATCH('[1]Lists and Calcs (Hidden)'!AJ128,'[1]Lists and Calcs (Hidden)'!$AB$34:$AB$732,0))
))</f>
        <v/>
      </c>
      <c r="Z104" s="95"/>
      <c r="AA104" s="96"/>
      <c r="AB104" s="85"/>
      <c r="AC104" s="86"/>
      <c r="AD104" s="87" t="str">
        <f>IFERROR(IF('[1]2. Prepare'!$O$50="Quantitative",INDEX('[1]Lists and Calcs (Hidden)'!$M$12:$Q$16,MATCH('[1]6. Risk Register Integration'!AB104,'[1]Lists and Calcs (Hidden)'!$K$12:$K$16,0),MATCH('[1]6. Risk Register Integration'!AC104,'[1]Lists and Calcs (Hidden)'!$M$10:$Q$10,0)),INDEX('[1]Lists and Calcs (Hidden)'!$Z$12:$AD$16,MATCH('[1]6. Risk Register Integration'!AB104,'[1]Lists and Calcs (Hidden)'!$X$12:$X$16,0),MATCH('[1]6. Risk Register Integration'!AC104,'[1]Lists and Calcs (Hidden)'!$Z$10:$AD$10,0))),"")</f>
        <v/>
      </c>
      <c r="AE104" s="54"/>
      <c r="AF104" s="4"/>
      <c r="AG104" s="4"/>
    </row>
    <row r="105" spans="2:33" ht="330" customHeight="1" x14ac:dyDescent="0.2">
      <c r="B105" s="107"/>
      <c r="C105" s="89" t="str">
        <f>IF('[1]Lists and Calcs (Hidden)'!AJ129="","",
                    IF(INDEX('[1]5. Assess Risks'!$B$6:$B$704,MATCH('[1]Lists and Calcs (Hidden)'!AJ129,'[1]Lists and Calcs (Hidden)'!$AB$34:$AB$732,0))="","",
                                    INDEX('[1]5. Assess Risks'!$B$6:$B$704,MATCH('[1]Lists and Calcs (Hidden)'!AJ129,'[1]Lists and Calcs (Hidden)'!$AB$34:$AB$732,0))
))</f>
        <v/>
      </c>
      <c r="D105" s="90" t="str">
        <f>IF(C105="", "", '[1]2. Prepare'!$E$6)</f>
        <v/>
      </c>
      <c r="E105" s="91"/>
      <c r="F105" s="91"/>
      <c r="G105" s="91"/>
      <c r="H105" s="91"/>
      <c r="I105" s="89" t="str">
        <f>IF('[1]Lists and Calcs (Hidden)'!AJ129="","",
                    IF(INDEX('[1]5. Assess Risks'!$D$6:$D$704,MATCH('[1]Lists and Calcs (Hidden)'!AJ129,'[1]Lists and Calcs (Hidden)'!$AB$34:$AB$732,0))="","",
                                    INDEX('[1]5. Assess Risks'!$D$6:$D$704,MATCH('[1]Lists and Calcs (Hidden)'!AJ129,'[1]Lists and Calcs (Hidden)'!$AB$34:$AB$732,0))
))</f>
        <v/>
      </c>
      <c r="J105" s="91"/>
      <c r="K105" s="91"/>
      <c r="L105" s="91"/>
      <c r="M105" s="91"/>
      <c r="N105" s="91"/>
      <c r="O105" s="91"/>
      <c r="P105" s="92" t="str">
        <f>IF('[1]Lists and Calcs (Hidden)'!AJ129="","",
                    IF(INDEX('[1]5. Assess Risks'!$G$6:$G$704,MATCH('[1]Lists and Calcs (Hidden)'!AJ129,'[1]Lists and Calcs (Hidden)'!$AB$34:$AB$732,0))="","",
                                    INDEX('[1]5. Assess Risks'!$G$6:$G$704,MATCH('[1]Lists and Calcs (Hidden)'!AJ129,'[1]Lists and Calcs (Hidden)'!$AB$34:$AB$732,0))
))</f>
        <v/>
      </c>
      <c r="Q105" s="92" t="str">
        <f>IF('[1]Lists and Calcs (Hidden)'!AJ129="","",
                    IF(INDEX('[1]5. Assess Risks'!$H$6:$H$704,MATCH('[1]Lists and Calcs (Hidden)'!AJ129,'[1]Lists and Calcs (Hidden)'!$AB$34:$AB$732,0))="","",
                                    INDEX('[1]5. Assess Risks'!$H$6:$H$704,MATCH('[1]Lists and Calcs (Hidden)'!AJ129,'[1]Lists and Calcs (Hidden)'!$AB$34:$AB$732,0))
))</f>
        <v/>
      </c>
      <c r="R105" s="93" t="str">
        <f>IFERROR(IF('[1]2. Prepare'!$O$50="Quantitative",INDEX('[1]Lists and Calcs (Hidden)'!$M$12:$Q$16,MATCH('[1]6. Risk Register Integration'!P105,'[1]Lists and Calcs (Hidden)'!$K$12:$K$16,0),MATCH('[1]6. Risk Register Integration'!Q105,'[1]Lists and Calcs (Hidden)'!$M$10:$Q$10,0)),INDEX('[1]Lists and Calcs (Hidden)'!$Z$12:$AD$16,MATCH('[1]6. Risk Register Integration'!P105,'[1]Lists and Calcs (Hidden)'!$X$12:$X$16,0),MATCH('[1]6. Risk Register Integration'!Q105,'[1]Lists and Calcs (Hidden)'!$Z$10:$AD$10,0))),"")</f>
        <v/>
      </c>
      <c r="S105" s="94" t="str">
        <f>IF('[1]Lists and Calcs (Hidden)'!AJ129="","",
                    IF(INDEX('[1]5. Assess Risks'!$J$6:$J$704,MATCH('[1]Lists and Calcs (Hidden)'!AJ129,'[1]Lists and Calcs (Hidden)'!$AB$34:$AB$732,0))="","",
                                    INDEX('[1]5. Assess Risks'!$J$6:$J$704,MATCH('[1]Lists and Calcs (Hidden)'!AJ129,'[1]Lists and Calcs (Hidden)'!$AB$34:$AB$732,0))
))</f>
        <v/>
      </c>
      <c r="T105" s="102"/>
      <c r="U105" s="105"/>
      <c r="V105" s="106"/>
      <c r="W105" s="105"/>
      <c r="X105" s="105"/>
      <c r="Y105" s="89" t="str">
        <f>IF('[1]Lists and Calcs (Hidden)'!AJ129="","",
                    IF(INDEX('[1]5. Assess Risks'!$L$6:$L$704,MATCH('[1]Lists and Calcs (Hidden)'!AJ129,'[1]Lists and Calcs (Hidden)'!$AB$34:$AB$732,0))="","",
                                    INDEX('[1]5. Assess Risks'!$L$6:$L$704,MATCH('[1]Lists and Calcs (Hidden)'!AJ129,'[1]Lists and Calcs (Hidden)'!$AB$34:$AB$732,0))
))</f>
        <v/>
      </c>
      <c r="Z105" s="95"/>
      <c r="AA105" s="96"/>
      <c r="AB105" s="85"/>
      <c r="AC105" s="86"/>
      <c r="AD105" s="87" t="str">
        <f>IFERROR(IF('[1]2. Prepare'!$O$50="Quantitative",INDEX('[1]Lists and Calcs (Hidden)'!$M$12:$Q$16,MATCH('[1]6. Risk Register Integration'!AB105,'[1]Lists and Calcs (Hidden)'!$K$12:$K$16,0),MATCH('[1]6. Risk Register Integration'!AC105,'[1]Lists and Calcs (Hidden)'!$M$10:$Q$10,0)),INDEX('[1]Lists and Calcs (Hidden)'!$Z$12:$AD$16,MATCH('[1]6. Risk Register Integration'!AB105,'[1]Lists and Calcs (Hidden)'!$X$12:$X$16,0),MATCH('[1]6. Risk Register Integration'!AC105,'[1]Lists and Calcs (Hidden)'!$Z$10:$AD$10,0))),"")</f>
        <v/>
      </c>
      <c r="AE105" s="54"/>
      <c r="AF105" s="4"/>
      <c r="AG105" s="4"/>
    </row>
    <row r="106" spans="2:33" ht="330" customHeight="1" x14ac:dyDescent="0.2">
      <c r="B106" s="108"/>
      <c r="C106" s="98" t="str">
        <f>IF('[1]Lists and Calcs (Hidden)'!AJ130="","",
                    IF(INDEX('[1]5. Assess Risks'!$B$6:$B$704,MATCH('[1]Lists and Calcs (Hidden)'!AJ130,'[1]Lists and Calcs (Hidden)'!$AB$34:$AB$732,0))="","",
                                    INDEX('[1]5. Assess Risks'!$B$6:$B$704,MATCH('[1]Lists and Calcs (Hidden)'!AJ130,'[1]Lists and Calcs (Hidden)'!$AB$34:$AB$732,0))
))</f>
        <v/>
      </c>
      <c r="D106" s="90" t="str">
        <f>IF(C106="", "", '[1]2. Prepare'!$E$6)</f>
        <v/>
      </c>
      <c r="E106" s="91"/>
      <c r="F106" s="91"/>
      <c r="G106" s="91"/>
      <c r="H106" s="91"/>
      <c r="I106" s="98" t="str">
        <f>IF('[1]Lists and Calcs (Hidden)'!AJ130="","",
                    IF(INDEX('[1]5. Assess Risks'!$D$6:$D$704,MATCH('[1]Lists and Calcs (Hidden)'!AJ130,'[1]Lists and Calcs (Hidden)'!$AB$34:$AB$732,0))="","",
                                    INDEX('[1]5. Assess Risks'!$D$6:$D$704,MATCH('[1]Lists and Calcs (Hidden)'!AJ130,'[1]Lists and Calcs (Hidden)'!$AB$34:$AB$732,0))
))</f>
        <v/>
      </c>
      <c r="J106" s="91"/>
      <c r="K106" s="91"/>
      <c r="L106" s="91"/>
      <c r="M106" s="91"/>
      <c r="N106" s="91"/>
      <c r="O106" s="91"/>
      <c r="P106" s="99" t="str">
        <f>IF('[1]Lists and Calcs (Hidden)'!AJ130="","",
                    IF(INDEX('[1]5. Assess Risks'!$G$6:$G$704,MATCH('[1]Lists and Calcs (Hidden)'!AJ130,'[1]Lists and Calcs (Hidden)'!$AB$34:$AB$732,0))="","",
                                    INDEX('[1]5. Assess Risks'!$G$6:$G$704,MATCH('[1]Lists and Calcs (Hidden)'!AJ130,'[1]Lists and Calcs (Hidden)'!$AB$34:$AB$732,0))
))</f>
        <v/>
      </c>
      <c r="Q106" s="99" t="str">
        <f>IF('[1]Lists and Calcs (Hidden)'!AJ130="","",
                    IF(INDEX('[1]5. Assess Risks'!$H$6:$H$704,MATCH('[1]Lists and Calcs (Hidden)'!AJ130,'[1]Lists and Calcs (Hidden)'!$AB$34:$AB$732,0))="","",
                                    INDEX('[1]5. Assess Risks'!$H$6:$H$704,MATCH('[1]Lists and Calcs (Hidden)'!AJ130,'[1]Lists and Calcs (Hidden)'!$AB$34:$AB$732,0))
))</f>
        <v/>
      </c>
      <c r="R106" s="100" t="str">
        <f>IFERROR(IF('[1]2. Prepare'!$O$50="Quantitative",INDEX('[1]Lists and Calcs (Hidden)'!$M$12:$Q$16,MATCH('[1]6. Risk Register Integration'!P106,'[1]Lists and Calcs (Hidden)'!$K$12:$K$16,0),MATCH('[1]6. Risk Register Integration'!Q106,'[1]Lists and Calcs (Hidden)'!$M$10:$Q$10,0)),INDEX('[1]Lists and Calcs (Hidden)'!$Z$12:$AD$16,MATCH('[1]6. Risk Register Integration'!P106,'[1]Lists and Calcs (Hidden)'!$X$12:$X$16,0),MATCH('[1]6. Risk Register Integration'!Q106,'[1]Lists and Calcs (Hidden)'!$Z$10:$AD$10,0))),"")</f>
        <v/>
      </c>
      <c r="S106" s="101" t="str">
        <f>IF('[1]Lists and Calcs (Hidden)'!AJ130="","",
                    IF(INDEX('[1]5. Assess Risks'!$J$6:$J$704,MATCH('[1]Lists and Calcs (Hidden)'!AJ130,'[1]Lists and Calcs (Hidden)'!$AB$34:$AB$732,0))="","",
                                    INDEX('[1]5. Assess Risks'!$J$6:$J$704,MATCH('[1]Lists and Calcs (Hidden)'!AJ130,'[1]Lists and Calcs (Hidden)'!$AB$34:$AB$732,0))
))</f>
        <v/>
      </c>
      <c r="T106" s="102"/>
      <c r="U106" s="105"/>
      <c r="V106" s="106"/>
      <c r="W106" s="105"/>
      <c r="X106" s="105"/>
      <c r="Y106" s="98" t="str">
        <f>IF('[1]Lists and Calcs (Hidden)'!AJ130="","",
                    IF(INDEX('[1]5. Assess Risks'!$L$6:$L$704,MATCH('[1]Lists and Calcs (Hidden)'!AJ130,'[1]Lists and Calcs (Hidden)'!$AB$34:$AB$732,0))="","",
                                    INDEX('[1]5. Assess Risks'!$L$6:$L$704,MATCH('[1]Lists and Calcs (Hidden)'!AJ130,'[1]Lists and Calcs (Hidden)'!$AB$34:$AB$732,0))
))</f>
        <v/>
      </c>
      <c r="Z106" s="95"/>
      <c r="AA106" s="96"/>
      <c r="AB106" s="85"/>
      <c r="AC106" s="86"/>
      <c r="AD106" s="87" t="str">
        <f>IFERROR(IF('[1]2. Prepare'!$O$50="Quantitative",INDEX('[1]Lists and Calcs (Hidden)'!$M$12:$Q$16,MATCH('[1]6. Risk Register Integration'!AB106,'[1]Lists and Calcs (Hidden)'!$K$12:$K$16,0),MATCH('[1]6. Risk Register Integration'!AC106,'[1]Lists and Calcs (Hidden)'!$M$10:$Q$10,0)),INDEX('[1]Lists and Calcs (Hidden)'!$Z$12:$AD$16,MATCH('[1]6. Risk Register Integration'!AB106,'[1]Lists and Calcs (Hidden)'!$X$12:$X$16,0),MATCH('[1]6. Risk Register Integration'!AC106,'[1]Lists and Calcs (Hidden)'!$Z$10:$AD$10,0))),"")</f>
        <v/>
      </c>
      <c r="AE106" s="54"/>
      <c r="AF106" s="4"/>
      <c r="AG106" s="4"/>
    </row>
    <row r="107" spans="2:33" ht="330" customHeight="1" x14ac:dyDescent="0.2">
      <c r="B107" s="107"/>
      <c r="C107" s="89" t="str">
        <f>IF('[1]Lists and Calcs (Hidden)'!AJ131="","",
                    IF(INDEX('[1]5. Assess Risks'!$B$6:$B$704,MATCH('[1]Lists and Calcs (Hidden)'!AJ131,'[1]Lists and Calcs (Hidden)'!$AB$34:$AB$732,0))="","",
                                    INDEX('[1]5. Assess Risks'!$B$6:$B$704,MATCH('[1]Lists and Calcs (Hidden)'!AJ131,'[1]Lists and Calcs (Hidden)'!$AB$34:$AB$732,0))
))</f>
        <v/>
      </c>
      <c r="D107" s="90" t="str">
        <f>IF(C107="", "", '[1]2. Prepare'!$E$6)</f>
        <v/>
      </c>
      <c r="E107" s="91"/>
      <c r="F107" s="91"/>
      <c r="G107" s="91"/>
      <c r="H107" s="91"/>
      <c r="I107" s="89" t="str">
        <f>IF('[1]Lists and Calcs (Hidden)'!AJ131="","",
                    IF(INDEX('[1]5. Assess Risks'!$D$6:$D$704,MATCH('[1]Lists and Calcs (Hidden)'!AJ131,'[1]Lists and Calcs (Hidden)'!$AB$34:$AB$732,0))="","",
                                    INDEX('[1]5. Assess Risks'!$D$6:$D$704,MATCH('[1]Lists and Calcs (Hidden)'!AJ131,'[1]Lists and Calcs (Hidden)'!$AB$34:$AB$732,0))
))</f>
        <v/>
      </c>
      <c r="J107" s="91"/>
      <c r="K107" s="91"/>
      <c r="L107" s="91"/>
      <c r="M107" s="91"/>
      <c r="N107" s="91"/>
      <c r="O107" s="91"/>
      <c r="P107" s="92" t="str">
        <f>IF('[1]Lists and Calcs (Hidden)'!AJ131="","",
                    IF(INDEX('[1]5. Assess Risks'!$G$6:$G$704,MATCH('[1]Lists and Calcs (Hidden)'!AJ131,'[1]Lists and Calcs (Hidden)'!$AB$34:$AB$732,0))="","",
                                    INDEX('[1]5. Assess Risks'!$G$6:$G$704,MATCH('[1]Lists and Calcs (Hidden)'!AJ131,'[1]Lists and Calcs (Hidden)'!$AB$34:$AB$732,0))
))</f>
        <v/>
      </c>
      <c r="Q107" s="92" t="str">
        <f>IF('[1]Lists and Calcs (Hidden)'!AJ131="","",
                    IF(INDEX('[1]5. Assess Risks'!$H$6:$H$704,MATCH('[1]Lists and Calcs (Hidden)'!AJ131,'[1]Lists and Calcs (Hidden)'!$AB$34:$AB$732,0))="","",
                                    INDEX('[1]5. Assess Risks'!$H$6:$H$704,MATCH('[1]Lists and Calcs (Hidden)'!AJ131,'[1]Lists and Calcs (Hidden)'!$AB$34:$AB$732,0))
))</f>
        <v/>
      </c>
      <c r="R107" s="93" t="str">
        <f>IFERROR(IF('[1]2. Prepare'!$O$50="Quantitative",INDEX('[1]Lists and Calcs (Hidden)'!$M$12:$Q$16,MATCH('[1]6. Risk Register Integration'!P107,'[1]Lists and Calcs (Hidden)'!$K$12:$K$16,0),MATCH('[1]6. Risk Register Integration'!Q107,'[1]Lists and Calcs (Hidden)'!$M$10:$Q$10,0)),INDEX('[1]Lists and Calcs (Hidden)'!$Z$12:$AD$16,MATCH('[1]6. Risk Register Integration'!P107,'[1]Lists and Calcs (Hidden)'!$X$12:$X$16,0),MATCH('[1]6. Risk Register Integration'!Q107,'[1]Lists and Calcs (Hidden)'!$Z$10:$AD$10,0))),"")</f>
        <v/>
      </c>
      <c r="S107" s="94" t="str">
        <f>IF('[1]Lists and Calcs (Hidden)'!AJ131="","",
                    IF(INDEX('[1]5. Assess Risks'!$J$6:$J$704,MATCH('[1]Lists and Calcs (Hidden)'!AJ131,'[1]Lists and Calcs (Hidden)'!$AB$34:$AB$732,0))="","",
                                    INDEX('[1]5. Assess Risks'!$J$6:$J$704,MATCH('[1]Lists and Calcs (Hidden)'!AJ131,'[1]Lists and Calcs (Hidden)'!$AB$34:$AB$732,0))
))</f>
        <v/>
      </c>
      <c r="T107" s="102"/>
      <c r="U107" s="105"/>
      <c r="V107" s="106"/>
      <c r="W107" s="105"/>
      <c r="X107" s="105"/>
      <c r="Y107" s="89" t="str">
        <f>IF('[1]Lists and Calcs (Hidden)'!AJ131="","",
                    IF(INDEX('[1]5. Assess Risks'!$L$6:$L$704,MATCH('[1]Lists and Calcs (Hidden)'!AJ131,'[1]Lists and Calcs (Hidden)'!$AB$34:$AB$732,0))="","",
                                    INDEX('[1]5. Assess Risks'!$L$6:$L$704,MATCH('[1]Lists and Calcs (Hidden)'!AJ131,'[1]Lists and Calcs (Hidden)'!$AB$34:$AB$732,0))
))</f>
        <v/>
      </c>
      <c r="Z107" s="95"/>
      <c r="AA107" s="96"/>
      <c r="AB107" s="85"/>
      <c r="AC107" s="86"/>
      <c r="AD107" s="87" t="str">
        <f>IFERROR(IF('[1]2. Prepare'!$O$50="Quantitative",INDEX('[1]Lists and Calcs (Hidden)'!$M$12:$Q$16,MATCH('[1]6. Risk Register Integration'!AB107,'[1]Lists and Calcs (Hidden)'!$K$12:$K$16,0),MATCH('[1]6. Risk Register Integration'!AC107,'[1]Lists and Calcs (Hidden)'!$M$10:$Q$10,0)),INDEX('[1]Lists and Calcs (Hidden)'!$Z$12:$AD$16,MATCH('[1]6. Risk Register Integration'!AB107,'[1]Lists and Calcs (Hidden)'!$X$12:$X$16,0),MATCH('[1]6. Risk Register Integration'!AC107,'[1]Lists and Calcs (Hidden)'!$Z$10:$AD$10,0))),"")</f>
        <v/>
      </c>
      <c r="AE107" s="54"/>
      <c r="AF107" s="4"/>
      <c r="AG107" s="4"/>
    </row>
    <row r="108" spans="2:33" ht="330" customHeight="1" x14ac:dyDescent="0.2">
      <c r="B108" s="107"/>
      <c r="C108" s="98" t="str">
        <f>IF('[1]Lists and Calcs (Hidden)'!AJ132="","",
                    IF(INDEX('[1]5. Assess Risks'!$B$6:$B$704,MATCH('[1]Lists and Calcs (Hidden)'!AJ132,'[1]Lists and Calcs (Hidden)'!$AB$34:$AB$732,0))="","",
                                    INDEX('[1]5. Assess Risks'!$B$6:$B$704,MATCH('[1]Lists and Calcs (Hidden)'!AJ132,'[1]Lists and Calcs (Hidden)'!$AB$34:$AB$732,0))
))</f>
        <v/>
      </c>
      <c r="D108" s="90" t="str">
        <f>IF(C108="", "", '[1]2. Prepare'!$E$6)</f>
        <v/>
      </c>
      <c r="E108" s="91"/>
      <c r="F108" s="91"/>
      <c r="G108" s="91"/>
      <c r="H108" s="91"/>
      <c r="I108" s="98" t="str">
        <f>IF('[1]Lists and Calcs (Hidden)'!AJ132="","",
                    IF(INDEX('[1]5. Assess Risks'!$D$6:$D$704,MATCH('[1]Lists and Calcs (Hidden)'!AJ132,'[1]Lists and Calcs (Hidden)'!$AB$34:$AB$732,0))="","",
                                    INDEX('[1]5. Assess Risks'!$D$6:$D$704,MATCH('[1]Lists and Calcs (Hidden)'!AJ132,'[1]Lists and Calcs (Hidden)'!$AB$34:$AB$732,0))
))</f>
        <v/>
      </c>
      <c r="J108" s="91"/>
      <c r="K108" s="91"/>
      <c r="L108" s="91"/>
      <c r="M108" s="91"/>
      <c r="N108" s="91"/>
      <c r="O108" s="91"/>
      <c r="P108" s="99" t="str">
        <f>IF('[1]Lists and Calcs (Hidden)'!AJ132="","",
                    IF(INDEX('[1]5. Assess Risks'!$G$6:$G$704,MATCH('[1]Lists and Calcs (Hidden)'!AJ132,'[1]Lists and Calcs (Hidden)'!$AB$34:$AB$732,0))="","",
                                    INDEX('[1]5. Assess Risks'!$G$6:$G$704,MATCH('[1]Lists and Calcs (Hidden)'!AJ132,'[1]Lists and Calcs (Hidden)'!$AB$34:$AB$732,0))
))</f>
        <v/>
      </c>
      <c r="Q108" s="99" t="str">
        <f>IF('[1]Lists and Calcs (Hidden)'!AJ132="","",
                    IF(INDEX('[1]5. Assess Risks'!$H$6:$H$704,MATCH('[1]Lists and Calcs (Hidden)'!AJ132,'[1]Lists and Calcs (Hidden)'!$AB$34:$AB$732,0))="","",
                                    INDEX('[1]5. Assess Risks'!$H$6:$H$704,MATCH('[1]Lists and Calcs (Hidden)'!AJ132,'[1]Lists and Calcs (Hidden)'!$AB$34:$AB$732,0))
))</f>
        <v/>
      </c>
      <c r="R108" s="100" t="str">
        <f>IFERROR(IF('[1]2. Prepare'!$O$50="Quantitative",INDEX('[1]Lists and Calcs (Hidden)'!$M$12:$Q$16,MATCH('[1]6. Risk Register Integration'!P108,'[1]Lists and Calcs (Hidden)'!$K$12:$K$16,0),MATCH('[1]6. Risk Register Integration'!Q108,'[1]Lists and Calcs (Hidden)'!$M$10:$Q$10,0)),INDEX('[1]Lists and Calcs (Hidden)'!$Z$12:$AD$16,MATCH('[1]6. Risk Register Integration'!P108,'[1]Lists and Calcs (Hidden)'!$X$12:$X$16,0),MATCH('[1]6. Risk Register Integration'!Q108,'[1]Lists and Calcs (Hidden)'!$Z$10:$AD$10,0))),"")</f>
        <v/>
      </c>
      <c r="S108" s="101" t="str">
        <f>IF('[1]Lists and Calcs (Hidden)'!AJ132="","",
                    IF(INDEX('[1]5. Assess Risks'!$J$6:$J$704,MATCH('[1]Lists and Calcs (Hidden)'!AJ132,'[1]Lists and Calcs (Hidden)'!$AB$34:$AB$732,0))="","",
                                    INDEX('[1]5. Assess Risks'!$J$6:$J$704,MATCH('[1]Lists and Calcs (Hidden)'!AJ132,'[1]Lists and Calcs (Hidden)'!$AB$34:$AB$732,0))
))</f>
        <v/>
      </c>
      <c r="T108" s="102"/>
      <c r="U108" s="105"/>
      <c r="V108" s="106"/>
      <c r="W108" s="105"/>
      <c r="X108" s="105"/>
      <c r="Y108" s="98" t="str">
        <f>IF('[1]Lists and Calcs (Hidden)'!AJ132="","",
                    IF(INDEX('[1]5. Assess Risks'!$L$6:$L$704,MATCH('[1]Lists and Calcs (Hidden)'!AJ132,'[1]Lists and Calcs (Hidden)'!$AB$34:$AB$732,0))="","",
                                    INDEX('[1]5. Assess Risks'!$L$6:$L$704,MATCH('[1]Lists and Calcs (Hidden)'!AJ132,'[1]Lists and Calcs (Hidden)'!$AB$34:$AB$732,0))
))</f>
        <v/>
      </c>
      <c r="Z108" s="95"/>
      <c r="AA108" s="96"/>
      <c r="AB108" s="85"/>
      <c r="AC108" s="86"/>
      <c r="AD108" s="87" t="str">
        <f>IFERROR(IF('[1]2. Prepare'!$O$50="Quantitative",INDEX('[1]Lists and Calcs (Hidden)'!$M$12:$Q$16,MATCH('[1]6. Risk Register Integration'!AB108,'[1]Lists and Calcs (Hidden)'!$K$12:$K$16,0),MATCH('[1]6. Risk Register Integration'!AC108,'[1]Lists and Calcs (Hidden)'!$M$10:$Q$10,0)),INDEX('[1]Lists and Calcs (Hidden)'!$Z$12:$AD$16,MATCH('[1]6. Risk Register Integration'!AB108,'[1]Lists and Calcs (Hidden)'!$X$12:$X$16,0),MATCH('[1]6. Risk Register Integration'!AC108,'[1]Lists and Calcs (Hidden)'!$Z$10:$AD$10,0))),"")</f>
        <v/>
      </c>
      <c r="AE108" s="54"/>
      <c r="AF108" s="4"/>
      <c r="AG108" s="4"/>
    </row>
    <row r="109" spans="2:33" ht="330" customHeight="1" x14ac:dyDescent="0.2">
      <c r="B109" s="108"/>
      <c r="C109" s="89" t="str">
        <f>IF('[1]Lists and Calcs (Hidden)'!AJ133="","",
                    IF(INDEX('[1]5. Assess Risks'!$B$6:$B$704,MATCH('[1]Lists and Calcs (Hidden)'!AJ133,'[1]Lists and Calcs (Hidden)'!$AB$34:$AB$732,0))="","",
                                    INDEX('[1]5. Assess Risks'!$B$6:$B$704,MATCH('[1]Lists and Calcs (Hidden)'!AJ133,'[1]Lists and Calcs (Hidden)'!$AB$34:$AB$732,0))
))</f>
        <v/>
      </c>
      <c r="D109" s="90" t="str">
        <f>IF(C109="", "", '[1]2. Prepare'!$E$6)</f>
        <v/>
      </c>
      <c r="E109" s="91"/>
      <c r="F109" s="91"/>
      <c r="G109" s="91"/>
      <c r="H109" s="91"/>
      <c r="I109" s="89" t="str">
        <f>IF('[1]Lists and Calcs (Hidden)'!AJ133="","",
                    IF(INDEX('[1]5. Assess Risks'!$D$6:$D$704,MATCH('[1]Lists and Calcs (Hidden)'!AJ133,'[1]Lists and Calcs (Hidden)'!$AB$34:$AB$732,0))="","",
                                    INDEX('[1]5. Assess Risks'!$D$6:$D$704,MATCH('[1]Lists and Calcs (Hidden)'!AJ133,'[1]Lists and Calcs (Hidden)'!$AB$34:$AB$732,0))
))</f>
        <v/>
      </c>
      <c r="J109" s="91"/>
      <c r="K109" s="91"/>
      <c r="L109" s="91"/>
      <c r="M109" s="91"/>
      <c r="N109" s="91"/>
      <c r="O109" s="91"/>
      <c r="P109" s="92" t="str">
        <f>IF('[1]Lists and Calcs (Hidden)'!AJ133="","",
                    IF(INDEX('[1]5. Assess Risks'!$G$6:$G$704,MATCH('[1]Lists and Calcs (Hidden)'!AJ133,'[1]Lists and Calcs (Hidden)'!$AB$34:$AB$732,0))="","",
                                    INDEX('[1]5. Assess Risks'!$G$6:$G$704,MATCH('[1]Lists and Calcs (Hidden)'!AJ133,'[1]Lists and Calcs (Hidden)'!$AB$34:$AB$732,0))
))</f>
        <v/>
      </c>
      <c r="Q109" s="92" t="str">
        <f>IF('[1]Lists and Calcs (Hidden)'!AJ133="","",
                    IF(INDEX('[1]5. Assess Risks'!$H$6:$H$704,MATCH('[1]Lists and Calcs (Hidden)'!AJ133,'[1]Lists and Calcs (Hidden)'!$AB$34:$AB$732,0))="","",
                                    INDEX('[1]5. Assess Risks'!$H$6:$H$704,MATCH('[1]Lists and Calcs (Hidden)'!AJ133,'[1]Lists and Calcs (Hidden)'!$AB$34:$AB$732,0))
))</f>
        <v/>
      </c>
      <c r="R109" s="93" t="str">
        <f>IFERROR(IF('[1]2. Prepare'!$O$50="Quantitative",INDEX('[1]Lists and Calcs (Hidden)'!$M$12:$Q$16,MATCH('[1]6. Risk Register Integration'!P109,'[1]Lists and Calcs (Hidden)'!$K$12:$K$16,0),MATCH('[1]6. Risk Register Integration'!Q109,'[1]Lists and Calcs (Hidden)'!$M$10:$Q$10,0)),INDEX('[1]Lists and Calcs (Hidden)'!$Z$12:$AD$16,MATCH('[1]6. Risk Register Integration'!P109,'[1]Lists and Calcs (Hidden)'!$X$12:$X$16,0),MATCH('[1]6. Risk Register Integration'!Q109,'[1]Lists and Calcs (Hidden)'!$Z$10:$AD$10,0))),"")</f>
        <v/>
      </c>
      <c r="S109" s="94" t="str">
        <f>IF('[1]Lists and Calcs (Hidden)'!AJ133="","",
                    IF(INDEX('[1]5. Assess Risks'!$J$6:$J$704,MATCH('[1]Lists and Calcs (Hidden)'!AJ133,'[1]Lists and Calcs (Hidden)'!$AB$34:$AB$732,0))="","",
                                    INDEX('[1]5. Assess Risks'!$J$6:$J$704,MATCH('[1]Lists and Calcs (Hidden)'!AJ133,'[1]Lists and Calcs (Hidden)'!$AB$34:$AB$732,0))
))</f>
        <v/>
      </c>
      <c r="T109" s="102"/>
      <c r="U109" s="105"/>
      <c r="V109" s="106"/>
      <c r="W109" s="105"/>
      <c r="X109" s="105"/>
      <c r="Y109" s="89" t="str">
        <f>IF('[1]Lists and Calcs (Hidden)'!AJ133="","",
                    IF(INDEX('[1]5. Assess Risks'!$L$6:$L$704,MATCH('[1]Lists and Calcs (Hidden)'!AJ133,'[1]Lists and Calcs (Hidden)'!$AB$34:$AB$732,0))="","",
                                    INDEX('[1]5. Assess Risks'!$L$6:$L$704,MATCH('[1]Lists and Calcs (Hidden)'!AJ133,'[1]Lists and Calcs (Hidden)'!$AB$34:$AB$732,0))
))</f>
        <v/>
      </c>
      <c r="Z109" s="95"/>
      <c r="AA109" s="96"/>
      <c r="AB109" s="85"/>
      <c r="AC109" s="86"/>
      <c r="AD109" s="87" t="str">
        <f>IFERROR(IF('[1]2. Prepare'!$O$50="Quantitative",INDEX('[1]Lists and Calcs (Hidden)'!$M$12:$Q$16,MATCH('[1]6. Risk Register Integration'!AB109,'[1]Lists and Calcs (Hidden)'!$K$12:$K$16,0),MATCH('[1]6. Risk Register Integration'!AC109,'[1]Lists and Calcs (Hidden)'!$M$10:$Q$10,0)),INDEX('[1]Lists and Calcs (Hidden)'!$Z$12:$AD$16,MATCH('[1]6. Risk Register Integration'!AB109,'[1]Lists and Calcs (Hidden)'!$X$12:$X$16,0),MATCH('[1]6. Risk Register Integration'!AC109,'[1]Lists and Calcs (Hidden)'!$Z$10:$AD$10,0))),"")</f>
        <v/>
      </c>
      <c r="AE109" s="54"/>
      <c r="AF109" s="4"/>
      <c r="AG109" s="4"/>
    </row>
    <row r="110" spans="2:33" ht="330" customHeight="1" x14ac:dyDescent="0.2">
      <c r="B110" s="107"/>
      <c r="C110" s="98" t="str">
        <f>IF('[1]Lists and Calcs (Hidden)'!AJ134="","",
                    IF(INDEX('[1]5. Assess Risks'!$B$6:$B$704,MATCH('[1]Lists and Calcs (Hidden)'!AJ134,'[1]Lists and Calcs (Hidden)'!$AB$34:$AB$732,0))="","",
                                    INDEX('[1]5. Assess Risks'!$B$6:$B$704,MATCH('[1]Lists and Calcs (Hidden)'!AJ134,'[1]Lists and Calcs (Hidden)'!$AB$34:$AB$732,0))
))</f>
        <v/>
      </c>
      <c r="D110" s="90" t="str">
        <f>IF(C110="", "", '[1]2. Prepare'!$E$6)</f>
        <v/>
      </c>
      <c r="E110" s="91"/>
      <c r="F110" s="91"/>
      <c r="G110" s="91"/>
      <c r="H110" s="91"/>
      <c r="I110" s="98" t="str">
        <f>IF('[1]Lists and Calcs (Hidden)'!AJ134="","",
                    IF(INDEX('[1]5. Assess Risks'!$D$6:$D$704,MATCH('[1]Lists and Calcs (Hidden)'!AJ134,'[1]Lists and Calcs (Hidden)'!$AB$34:$AB$732,0))="","",
                                    INDEX('[1]5. Assess Risks'!$D$6:$D$704,MATCH('[1]Lists and Calcs (Hidden)'!AJ134,'[1]Lists and Calcs (Hidden)'!$AB$34:$AB$732,0))
))</f>
        <v/>
      </c>
      <c r="J110" s="91"/>
      <c r="K110" s="91"/>
      <c r="L110" s="91"/>
      <c r="M110" s="91"/>
      <c r="N110" s="91"/>
      <c r="O110" s="91"/>
      <c r="P110" s="99" t="str">
        <f>IF('[1]Lists and Calcs (Hidden)'!AJ134="","",
                    IF(INDEX('[1]5. Assess Risks'!$G$6:$G$704,MATCH('[1]Lists and Calcs (Hidden)'!AJ134,'[1]Lists and Calcs (Hidden)'!$AB$34:$AB$732,0))="","",
                                    INDEX('[1]5. Assess Risks'!$G$6:$G$704,MATCH('[1]Lists and Calcs (Hidden)'!AJ134,'[1]Lists and Calcs (Hidden)'!$AB$34:$AB$732,0))
))</f>
        <v/>
      </c>
      <c r="Q110" s="99" t="str">
        <f>IF('[1]Lists and Calcs (Hidden)'!AJ134="","",
                    IF(INDEX('[1]5. Assess Risks'!$H$6:$H$704,MATCH('[1]Lists and Calcs (Hidden)'!AJ134,'[1]Lists and Calcs (Hidden)'!$AB$34:$AB$732,0))="","",
                                    INDEX('[1]5. Assess Risks'!$H$6:$H$704,MATCH('[1]Lists and Calcs (Hidden)'!AJ134,'[1]Lists and Calcs (Hidden)'!$AB$34:$AB$732,0))
))</f>
        <v/>
      </c>
      <c r="R110" s="100" t="str">
        <f>IFERROR(IF('[1]2. Prepare'!$O$50="Quantitative",INDEX('[1]Lists and Calcs (Hidden)'!$M$12:$Q$16,MATCH('[1]6. Risk Register Integration'!P110,'[1]Lists and Calcs (Hidden)'!$K$12:$K$16,0),MATCH('[1]6. Risk Register Integration'!Q110,'[1]Lists and Calcs (Hidden)'!$M$10:$Q$10,0)),INDEX('[1]Lists and Calcs (Hidden)'!$Z$12:$AD$16,MATCH('[1]6. Risk Register Integration'!P110,'[1]Lists and Calcs (Hidden)'!$X$12:$X$16,0),MATCH('[1]6. Risk Register Integration'!Q110,'[1]Lists and Calcs (Hidden)'!$Z$10:$AD$10,0))),"")</f>
        <v/>
      </c>
      <c r="S110" s="101" t="str">
        <f>IF('[1]Lists and Calcs (Hidden)'!AJ134="","",
                    IF(INDEX('[1]5. Assess Risks'!$J$6:$J$704,MATCH('[1]Lists and Calcs (Hidden)'!AJ134,'[1]Lists and Calcs (Hidden)'!$AB$34:$AB$732,0))="","",
                                    INDEX('[1]5. Assess Risks'!$J$6:$J$704,MATCH('[1]Lists and Calcs (Hidden)'!AJ134,'[1]Lists and Calcs (Hidden)'!$AB$34:$AB$732,0))
))</f>
        <v/>
      </c>
      <c r="T110" s="102"/>
      <c r="U110" s="105"/>
      <c r="V110" s="106"/>
      <c r="W110" s="105"/>
      <c r="X110" s="105"/>
      <c r="Y110" s="98" t="str">
        <f>IF('[1]Lists and Calcs (Hidden)'!AJ134="","",
                    IF(INDEX('[1]5. Assess Risks'!$L$6:$L$704,MATCH('[1]Lists and Calcs (Hidden)'!AJ134,'[1]Lists and Calcs (Hidden)'!$AB$34:$AB$732,0))="","",
                                    INDEX('[1]5. Assess Risks'!$L$6:$L$704,MATCH('[1]Lists and Calcs (Hidden)'!AJ134,'[1]Lists and Calcs (Hidden)'!$AB$34:$AB$732,0))
))</f>
        <v/>
      </c>
      <c r="Z110" s="95"/>
      <c r="AA110" s="96"/>
      <c r="AB110" s="85"/>
      <c r="AC110" s="86"/>
      <c r="AD110" s="87" t="str">
        <f>IFERROR(IF('[1]2. Prepare'!$O$50="Quantitative",INDEX('[1]Lists and Calcs (Hidden)'!$M$12:$Q$16,MATCH('[1]6. Risk Register Integration'!AB110,'[1]Lists and Calcs (Hidden)'!$K$12:$K$16,0),MATCH('[1]6. Risk Register Integration'!AC110,'[1]Lists and Calcs (Hidden)'!$M$10:$Q$10,0)),INDEX('[1]Lists and Calcs (Hidden)'!$Z$12:$AD$16,MATCH('[1]6. Risk Register Integration'!AB110,'[1]Lists and Calcs (Hidden)'!$X$12:$X$16,0),MATCH('[1]6. Risk Register Integration'!AC110,'[1]Lists and Calcs (Hidden)'!$Z$10:$AD$10,0))),"")</f>
        <v/>
      </c>
      <c r="AE110" s="54"/>
      <c r="AF110" s="4"/>
      <c r="AG110" s="4"/>
    </row>
    <row r="111" spans="2:33" ht="330" customHeight="1" x14ac:dyDescent="0.2">
      <c r="B111" s="108"/>
      <c r="C111" s="89" t="str">
        <f>IF('[1]Lists and Calcs (Hidden)'!AJ135="","",
                    IF(INDEX('[1]5. Assess Risks'!$B$6:$B$704,MATCH('[1]Lists and Calcs (Hidden)'!AJ135,'[1]Lists and Calcs (Hidden)'!$AB$34:$AB$732,0))="","",
                                    INDEX('[1]5. Assess Risks'!$B$6:$B$704,MATCH('[1]Lists and Calcs (Hidden)'!AJ135,'[1]Lists and Calcs (Hidden)'!$AB$34:$AB$732,0))
))</f>
        <v/>
      </c>
      <c r="D111" s="90" t="str">
        <f>IF(C111="", "", '[1]2. Prepare'!$E$6)</f>
        <v/>
      </c>
      <c r="E111" s="91"/>
      <c r="F111" s="91"/>
      <c r="G111" s="91"/>
      <c r="H111" s="91"/>
      <c r="I111" s="89" t="str">
        <f>IF('[1]Lists and Calcs (Hidden)'!AJ135="","",
                    IF(INDEX('[1]5. Assess Risks'!$D$6:$D$704,MATCH('[1]Lists and Calcs (Hidden)'!AJ135,'[1]Lists and Calcs (Hidden)'!$AB$34:$AB$732,0))="","",
                                    INDEX('[1]5. Assess Risks'!$D$6:$D$704,MATCH('[1]Lists and Calcs (Hidden)'!AJ135,'[1]Lists and Calcs (Hidden)'!$AB$34:$AB$732,0))
))</f>
        <v/>
      </c>
      <c r="J111" s="91"/>
      <c r="K111" s="91"/>
      <c r="L111" s="91"/>
      <c r="M111" s="91"/>
      <c r="N111" s="91"/>
      <c r="O111" s="91"/>
      <c r="P111" s="92" t="str">
        <f>IF('[1]Lists and Calcs (Hidden)'!AJ135="","",
                    IF(INDEX('[1]5. Assess Risks'!$G$6:$G$704,MATCH('[1]Lists and Calcs (Hidden)'!AJ135,'[1]Lists and Calcs (Hidden)'!$AB$34:$AB$732,0))="","",
                                    INDEX('[1]5. Assess Risks'!$G$6:$G$704,MATCH('[1]Lists and Calcs (Hidden)'!AJ135,'[1]Lists and Calcs (Hidden)'!$AB$34:$AB$732,0))
))</f>
        <v/>
      </c>
      <c r="Q111" s="92" t="str">
        <f>IF('[1]Lists and Calcs (Hidden)'!AJ135="","",
                    IF(INDEX('[1]5. Assess Risks'!$H$6:$H$704,MATCH('[1]Lists and Calcs (Hidden)'!AJ135,'[1]Lists and Calcs (Hidden)'!$AB$34:$AB$732,0))="","",
                                    INDEX('[1]5. Assess Risks'!$H$6:$H$704,MATCH('[1]Lists and Calcs (Hidden)'!AJ135,'[1]Lists and Calcs (Hidden)'!$AB$34:$AB$732,0))
))</f>
        <v/>
      </c>
      <c r="R111" s="93" t="str">
        <f>IFERROR(IF('[1]2. Prepare'!$O$50="Quantitative",INDEX('[1]Lists and Calcs (Hidden)'!$M$12:$Q$16,MATCH('[1]6. Risk Register Integration'!P111,'[1]Lists and Calcs (Hidden)'!$K$12:$K$16,0),MATCH('[1]6. Risk Register Integration'!Q111,'[1]Lists and Calcs (Hidden)'!$M$10:$Q$10,0)),INDEX('[1]Lists and Calcs (Hidden)'!$Z$12:$AD$16,MATCH('[1]6. Risk Register Integration'!P111,'[1]Lists and Calcs (Hidden)'!$X$12:$X$16,0),MATCH('[1]6. Risk Register Integration'!Q111,'[1]Lists and Calcs (Hidden)'!$Z$10:$AD$10,0))),"")</f>
        <v/>
      </c>
      <c r="S111" s="94" t="str">
        <f>IF('[1]Lists and Calcs (Hidden)'!AJ135="","",
                    IF(INDEX('[1]5. Assess Risks'!$J$6:$J$704,MATCH('[1]Lists and Calcs (Hidden)'!AJ135,'[1]Lists and Calcs (Hidden)'!$AB$34:$AB$732,0))="","",
                                    INDEX('[1]5. Assess Risks'!$J$6:$J$704,MATCH('[1]Lists and Calcs (Hidden)'!AJ135,'[1]Lists and Calcs (Hidden)'!$AB$34:$AB$732,0))
))</f>
        <v/>
      </c>
      <c r="T111" s="102"/>
      <c r="U111" s="105"/>
      <c r="V111" s="106"/>
      <c r="W111" s="105"/>
      <c r="X111" s="105"/>
      <c r="Y111" s="89" t="str">
        <f>IF('[1]Lists and Calcs (Hidden)'!AJ135="","",
                    IF(INDEX('[1]5. Assess Risks'!$L$6:$L$704,MATCH('[1]Lists and Calcs (Hidden)'!AJ135,'[1]Lists and Calcs (Hidden)'!$AB$34:$AB$732,0))="","",
                                    INDEX('[1]5. Assess Risks'!$L$6:$L$704,MATCH('[1]Lists and Calcs (Hidden)'!AJ135,'[1]Lists and Calcs (Hidden)'!$AB$34:$AB$732,0))
))</f>
        <v/>
      </c>
      <c r="Z111" s="95"/>
      <c r="AA111" s="96"/>
      <c r="AB111" s="85"/>
      <c r="AC111" s="86"/>
      <c r="AD111" s="87" t="str">
        <f>IFERROR(IF('[1]2. Prepare'!$O$50="Quantitative",INDEX('[1]Lists and Calcs (Hidden)'!$M$12:$Q$16,MATCH('[1]6. Risk Register Integration'!AB111,'[1]Lists and Calcs (Hidden)'!$K$12:$K$16,0),MATCH('[1]6. Risk Register Integration'!AC111,'[1]Lists and Calcs (Hidden)'!$M$10:$Q$10,0)),INDEX('[1]Lists and Calcs (Hidden)'!$Z$12:$AD$16,MATCH('[1]6. Risk Register Integration'!AB111,'[1]Lists and Calcs (Hidden)'!$X$12:$X$16,0),MATCH('[1]6. Risk Register Integration'!AC111,'[1]Lists and Calcs (Hidden)'!$Z$10:$AD$10,0))),"")</f>
        <v/>
      </c>
      <c r="AE111" s="54"/>
      <c r="AF111" s="4"/>
      <c r="AG111" s="4"/>
    </row>
    <row r="112" spans="2:33" ht="330" customHeight="1" x14ac:dyDescent="0.2">
      <c r="B112" s="107"/>
      <c r="C112" s="98" t="str">
        <f>IF('[1]Lists and Calcs (Hidden)'!AJ136="","",
                    IF(INDEX('[1]5. Assess Risks'!$B$6:$B$704,MATCH('[1]Lists and Calcs (Hidden)'!AJ136,'[1]Lists and Calcs (Hidden)'!$AB$34:$AB$732,0))="","",
                                    INDEX('[1]5. Assess Risks'!$B$6:$B$704,MATCH('[1]Lists and Calcs (Hidden)'!AJ136,'[1]Lists and Calcs (Hidden)'!$AB$34:$AB$732,0))
))</f>
        <v/>
      </c>
      <c r="D112" s="90" t="str">
        <f>IF(C112="", "", '[1]2. Prepare'!$E$6)</f>
        <v/>
      </c>
      <c r="E112" s="91"/>
      <c r="F112" s="91"/>
      <c r="G112" s="91"/>
      <c r="H112" s="91"/>
      <c r="I112" s="98" t="str">
        <f>IF('[1]Lists and Calcs (Hidden)'!AJ136="","",
                    IF(INDEX('[1]5. Assess Risks'!$D$6:$D$704,MATCH('[1]Lists and Calcs (Hidden)'!AJ136,'[1]Lists and Calcs (Hidden)'!$AB$34:$AB$732,0))="","",
                                    INDEX('[1]5. Assess Risks'!$D$6:$D$704,MATCH('[1]Lists and Calcs (Hidden)'!AJ136,'[1]Lists and Calcs (Hidden)'!$AB$34:$AB$732,0))
))</f>
        <v/>
      </c>
      <c r="J112" s="91"/>
      <c r="K112" s="91"/>
      <c r="L112" s="91"/>
      <c r="M112" s="91"/>
      <c r="N112" s="91"/>
      <c r="O112" s="91"/>
      <c r="P112" s="99" t="str">
        <f>IF('[1]Lists and Calcs (Hidden)'!AJ136="","",
                    IF(INDEX('[1]5. Assess Risks'!$G$6:$G$704,MATCH('[1]Lists and Calcs (Hidden)'!AJ136,'[1]Lists and Calcs (Hidden)'!$AB$34:$AB$732,0))="","",
                                    INDEX('[1]5. Assess Risks'!$G$6:$G$704,MATCH('[1]Lists and Calcs (Hidden)'!AJ136,'[1]Lists and Calcs (Hidden)'!$AB$34:$AB$732,0))
))</f>
        <v/>
      </c>
      <c r="Q112" s="99" t="str">
        <f>IF('[1]Lists and Calcs (Hidden)'!AJ136="","",
                    IF(INDEX('[1]5. Assess Risks'!$H$6:$H$704,MATCH('[1]Lists and Calcs (Hidden)'!AJ136,'[1]Lists and Calcs (Hidden)'!$AB$34:$AB$732,0))="","",
                                    INDEX('[1]5. Assess Risks'!$H$6:$H$704,MATCH('[1]Lists and Calcs (Hidden)'!AJ136,'[1]Lists and Calcs (Hidden)'!$AB$34:$AB$732,0))
))</f>
        <v/>
      </c>
      <c r="R112" s="100" t="str">
        <f>IFERROR(IF('[1]2. Prepare'!$O$50="Quantitative",INDEX('[1]Lists and Calcs (Hidden)'!$M$12:$Q$16,MATCH('[1]6. Risk Register Integration'!P112,'[1]Lists and Calcs (Hidden)'!$K$12:$K$16,0),MATCH('[1]6. Risk Register Integration'!Q112,'[1]Lists and Calcs (Hidden)'!$M$10:$Q$10,0)),INDEX('[1]Lists and Calcs (Hidden)'!$Z$12:$AD$16,MATCH('[1]6. Risk Register Integration'!P112,'[1]Lists and Calcs (Hidden)'!$X$12:$X$16,0),MATCH('[1]6. Risk Register Integration'!Q112,'[1]Lists and Calcs (Hidden)'!$Z$10:$AD$10,0))),"")</f>
        <v/>
      </c>
      <c r="S112" s="101" t="str">
        <f>IF('[1]Lists and Calcs (Hidden)'!AJ136="","",
                    IF(INDEX('[1]5. Assess Risks'!$J$6:$J$704,MATCH('[1]Lists and Calcs (Hidden)'!AJ136,'[1]Lists and Calcs (Hidden)'!$AB$34:$AB$732,0))="","",
                                    INDEX('[1]5. Assess Risks'!$J$6:$J$704,MATCH('[1]Lists and Calcs (Hidden)'!AJ136,'[1]Lists and Calcs (Hidden)'!$AB$34:$AB$732,0))
))</f>
        <v/>
      </c>
      <c r="T112" s="102"/>
      <c r="U112" s="105"/>
      <c r="V112" s="106"/>
      <c r="W112" s="105"/>
      <c r="X112" s="105"/>
      <c r="Y112" s="98" t="str">
        <f>IF('[1]Lists and Calcs (Hidden)'!AJ136="","",
                    IF(INDEX('[1]5. Assess Risks'!$L$6:$L$704,MATCH('[1]Lists and Calcs (Hidden)'!AJ136,'[1]Lists and Calcs (Hidden)'!$AB$34:$AB$732,0))="","",
                                    INDEX('[1]5. Assess Risks'!$L$6:$L$704,MATCH('[1]Lists and Calcs (Hidden)'!AJ136,'[1]Lists and Calcs (Hidden)'!$AB$34:$AB$732,0))
))</f>
        <v/>
      </c>
      <c r="Z112" s="95"/>
      <c r="AA112" s="96"/>
      <c r="AB112" s="85"/>
      <c r="AC112" s="86"/>
      <c r="AD112" s="87" t="str">
        <f>IFERROR(IF('[1]2. Prepare'!$O$50="Quantitative",INDEX('[1]Lists and Calcs (Hidden)'!$M$12:$Q$16,MATCH('[1]6. Risk Register Integration'!AB112,'[1]Lists and Calcs (Hidden)'!$K$12:$K$16,0),MATCH('[1]6. Risk Register Integration'!AC112,'[1]Lists and Calcs (Hidden)'!$M$10:$Q$10,0)),INDEX('[1]Lists and Calcs (Hidden)'!$Z$12:$AD$16,MATCH('[1]6. Risk Register Integration'!AB112,'[1]Lists and Calcs (Hidden)'!$X$12:$X$16,0),MATCH('[1]6. Risk Register Integration'!AC112,'[1]Lists and Calcs (Hidden)'!$Z$10:$AD$10,0))),"")</f>
        <v/>
      </c>
      <c r="AE112" s="54"/>
      <c r="AF112" s="4"/>
      <c r="AG112" s="4"/>
    </row>
    <row r="113" spans="2:33" ht="330" customHeight="1" x14ac:dyDescent="0.2">
      <c r="B113" s="107"/>
      <c r="C113" s="89" t="str">
        <f>IF('[1]Lists and Calcs (Hidden)'!AJ137="","",
                    IF(INDEX('[1]5. Assess Risks'!$B$6:$B$704,MATCH('[1]Lists and Calcs (Hidden)'!AJ137,'[1]Lists and Calcs (Hidden)'!$AB$34:$AB$732,0))="","",
                                    INDEX('[1]5. Assess Risks'!$B$6:$B$704,MATCH('[1]Lists and Calcs (Hidden)'!AJ137,'[1]Lists and Calcs (Hidden)'!$AB$34:$AB$732,0))
))</f>
        <v/>
      </c>
      <c r="D113" s="90" t="str">
        <f>IF(C113="", "", '[1]2. Prepare'!$E$6)</f>
        <v/>
      </c>
      <c r="E113" s="91"/>
      <c r="F113" s="91"/>
      <c r="G113" s="91"/>
      <c r="H113" s="91"/>
      <c r="I113" s="89" t="str">
        <f>IF('[1]Lists and Calcs (Hidden)'!AJ137="","",
                    IF(INDEX('[1]5. Assess Risks'!$D$6:$D$704,MATCH('[1]Lists and Calcs (Hidden)'!AJ137,'[1]Lists and Calcs (Hidden)'!$AB$34:$AB$732,0))="","",
                                    INDEX('[1]5. Assess Risks'!$D$6:$D$704,MATCH('[1]Lists and Calcs (Hidden)'!AJ137,'[1]Lists and Calcs (Hidden)'!$AB$34:$AB$732,0))
))</f>
        <v/>
      </c>
      <c r="J113" s="91"/>
      <c r="K113" s="91"/>
      <c r="L113" s="91"/>
      <c r="M113" s="91"/>
      <c r="N113" s="91"/>
      <c r="O113" s="91"/>
      <c r="P113" s="92" t="str">
        <f>IF('[1]Lists and Calcs (Hidden)'!AJ137="","",
                    IF(INDEX('[1]5. Assess Risks'!$G$6:$G$704,MATCH('[1]Lists and Calcs (Hidden)'!AJ137,'[1]Lists and Calcs (Hidden)'!$AB$34:$AB$732,0))="","",
                                    INDEX('[1]5. Assess Risks'!$G$6:$G$704,MATCH('[1]Lists and Calcs (Hidden)'!AJ137,'[1]Lists and Calcs (Hidden)'!$AB$34:$AB$732,0))
))</f>
        <v/>
      </c>
      <c r="Q113" s="92" t="str">
        <f>IF('[1]Lists and Calcs (Hidden)'!AJ137="","",
                    IF(INDEX('[1]5. Assess Risks'!$H$6:$H$704,MATCH('[1]Lists and Calcs (Hidden)'!AJ137,'[1]Lists and Calcs (Hidden)'!$AB$34:$AB$732,0))="","",
                                    INDEX('[1]5. Assess Risks'!$H$6:$H$704,MATCH('[1]Lists and Calcs (Hidden)'!AJ137,'[1]Lists and Calcs (Hidden)'!$AB$34:$AB$732,0))
))</f>
        <v/>
      </c>
      <c r="R113" s="93" t="str">
        <f>IFERROR(IF('[1]2. Prepare'!$O$50="Quantitative",INDEX('[1]Lists and Calcs (Hidden)'!$M$12:$Q$16,MATCH('[1]6. Risk Register Integration'!P113,'[1]Lists and Calcs (Hidden)'!$K$12:$K$16,0),MATCH('[1]6. Risk Register Integration'!Q113,'[1]Lists and Calcs (Hidden)'!$M$10:$Q$10,0)),INDEX('[1]Lists and Calcs (Hidden)'!$Z$12:$AD$16,MATCH('[1]6. Risk Register Integration'!P113,'[1]Lists and Calcs (Hidden)'!$X$12:$X$16,0),MATCH('[1]6. Risk Register Integration'!Q113,'[1]Lists and Calcs (Hidden)'!$Z$10:$AD$10,0))),"")</f>
        <v/>
      </c>
      <c r="S113" s="94" t="str">
        <f>IF('[1]Lists and Calcs (Hidden)'!AJ137="","",
                    IF(INDEX('[1]5. Assess Risks'!$J$6:$J$704,MATCH('[1]Lists and Calcs (Hidden)'!AJ137,'[1]Lists and Calcs (Hidden)'!$AB$34:$AB$732,0))="","",
                                    INDEX('[1]5. Assess Risks'!$J$6:$J$704,MATCH('[1]Lists and Calcs (Hidden)'!AJ137,'[1]Lists and Calcs (Hidden)'!$AB$34:$AB$732,0))
))</f>
        <v/>
      </c>
      <c r="T113" s="102"/>
      <c r="U113" s="105"/>
      <c r="V113" s="106"/>
      <c r="W113" s="105"/>
      <c r="X113" s="105"/>
      <c r="Y113" s="89" t="str">
        <f>IF('[1]Lists and Calcs (Hidden)'!AJ137="","",
                    IF(INDEX('[1]5. Assess Risks'!$L$6:$L$704,MATCH('[1]Lists and Calcs (Hidden)'!AJ137,'[1]Lists and Calcs (Hidden)'!$AB$34:$AB$732,0))="","",
                                    INDEX('[1]5. Assess Risks'!$L$6:$L$704,MATCH('[1]Lists and Calcs (Hidden)'!AJ137,'[1]Lists and Calcs (Hidden)'!$AB$34:$AB$732,0))
))</f>
        <v/>
      </c>
      <c r="Z113" s="95"/>
      <c r="AA113" s="96"/>
      <c r="AB113" s="85"/>
      <c r="AC113" s="86"/>
      <c r="AD113" s="87" t="str">
        <f>IFERROR(IF('[1]2. Prepare'!$O$50="Quantitative",INDEX('[1]Lists and Calcs (Hidden)'!$M$12:$Q$16,MATCH('[1]6. Risk Register Integration'!AB113,'[1]Lists and Calcs (Hidden)'!$K$12:$K$16,0),MATCH('[1]6. Risk Register Integration'!AC113,'[1]Lists and Calcs (Hidden)'!$M$10:$Q$10,0)),INDEX('[1]Lists and Calcs (Hidden)'!$Z$12:$AD$16,MATCH('[1]6. Risk Register Integration'!AB113,'[1]Lists and Calcs (Hidden)'!$X$12:$X$16,0),MATCH('[1]6. Risk Register Integration'!AC113,'[1]Lists and Calcs (Hidden)'!$Z$10:$AD$10,0))),"")</f>
        <v/>
      </c>
      <c r="AE113" s="54"/>
      <c r="AF113" s="4"/>
      <c r="AG113" s="4"/>
    </row>
    <row r="114" spans="2:33" ht="330" customHeight="1" x14ac:dyDescent="0.2">
      <c r="B114" s="108"/>
      <c r="C114" s="98" t="str">
        <f>IF('[1]Lists and Calcs (Hidden)'!AJ138="","",
                    IF(INDEX('[1]5. Assess Risks'!$B$6:$B$704,MATCH('[1]Lists and Calcs (Hidden)'!AJ138,'[1]Lists and Calcs (Hidden)'!$AB$34:$AB$732,0))="","",
                                    INDEX('[1]5. Assess Risks'!$B$6:$B$704,MATCH('[1]Lists and Calcs (Hidden)'!AJ138,'[1]Lists and Calcs (Hidden)'!$AB$34:$AB$732,0))
))</f>
        <v/>
      </c>
      <c r="D114" s="90" t="str">
        <f>IF(C114="", "", '[1]2. Prepare'!$E$6)</f>
        <v/>
      </c>
      <c r="E114" s="91"/>
      <c r="F114" s="91"/>
      <c r="G114" s="91"/>
      <c r="H114" s="91"/>
      <c r="I114" s="98" t="str">
        <f>IF('[1]Lists and Calcs (Hidden)'!AJ138="","",
                    IF(INDEX('[1]5. Assess Risks'!$D$6:$D$704,MATCH('[1]Lists and Calcs (Hidden)'!AJ138,'[1]Lists and Calcs (Hidden)'!$AB$34:$AB$732,0))="","",
                                    INDEX('[1]5. Assess Risks'!$D$6:$D$704,MATCH('[1]Lists and Calcs (Hidden)'!AJ138,'[1]Lists and Calcs (Hidden)'!$AB$34:$AB$732,0))
))</f>
        <v/>
      </c>
      <c r="J114" s="91"/>
      <c r="K114" s="91"/>
      <c r="L114" s="91"/>
      <c r="M114" s="91"/>
      <c r="N114" s="91"/>
      <c r="O114" s="91"/>
      <c r="P114" s="99" t="str">
        <f>IF('[1]Lists and Calcs (Hidden)'!AJ138="","",
                    IF(INDEX('[1]5. Assess Risks'!$G$6:$G$704,MATCH('[1]Lists and Calcs (Hidden)'!AJ138,'[1]Lists and Calcs (Hidden)'!$AB$34:$AB$732,0))="","",
                                    INDEX('[1]5. Assess Risks'!$G$6:$G$704,MATCH('[1]Lists and Calcs (Hidden)'!AJ138,'[1]Lists and Calcs (Hidden)'!$AB$34:$AB$732,0))
))</f>
        <v/>
      </c>
      <c r="Q114" s="99" t="str">
        <f>IF('[1]Lists and Calcs (Hidden)'!AJ138="","",
                    IF(INDEX('[1]5. Assess Risks'!$H$6:$H$704,MATCH('[1]Lists and Calcs (Hidden)'!AJ138,'[1]Lists and Calcs (Hidden)'!$AB$34:$AB$732,0))="","",
                                    INDEX('[1]5. Assess Risks'!$H$6:$H$704,MATCH('[1]Lists and Calcs (Hidden)'!AJ138,'[1]Lists and Calcs (Hidden)'!$AB$34:$AB$732,0))
))</f>
        <v/>
      </c>
      <c r="R114" s="100" t="str">
        <f>IFERROR(IF('[1]2. Prepare'!$O$50="Quantitative",INDEX('[1]Lists and Calcs (Hidden)'!$M$12:$Q$16,MATCH('[1]6. Risk Register Integration'!P114,'[1]Lists and Calcs (Hidden)'!$K$12:$K$16,0),MATCH('[1]6. Risk Register Integration'!Q114,'[1]Lists and Calcs (Hidden)'!$M$10:$Q$10,0)),INDEX('[1]Lists and Calcs (Hidden)'!$Z$12:$AD$16,MATCH('[1]6. Risk Register Integration'!P114,'[1]Lists and Calcs (Hidden)'!$X$12:$X$16,0),MATCH('[1]6. Risk Register Integration'!Q114,'[1]Lists and Calcs (Hidden)'!$Z$10:$AD$10,0))),"")</f>
        <v/>
      </c>
      <c r="S114" s="101" t="str">
        <f>IF('[1]Lists and Calcs (Hidden)'!AJ138="","",
                    IF(INDEX('[1]5. Assess Risks'!$J$6:$J$704,MATCH('[1]Lists and Calcs (Hidden)'!AJ138,'[1]Lists and Calcs (Hidden)'!$AB$34:$AB$732,0))="","",
                                    INDEX('[1]5. Assess Risks'!$J$6:$J$704,MATCH('[1]Lists and Calcs (Hidden)'!AJ138,'[1]Lists and Calcs (Hidden)'!$AB$34:$AB$732,0))
))</f>
        <v/>
      </c>
      <c r="T114" s="102"/>
      <c r="U114" s="105"/>
      <c r="V114" s="106"/>
      <c r="W114" s="105"/>
      <c r="X114" s="105"/>
      <c r="Y114" s="98" t="str">
        <f>IF('[1]Lists and Calcs (Hidden)'!AJ138="","",
                    IF(INDEX('[1]5. Assess Risks'!$L$6:$L$704,MATCH('[1]Lists and Calcs (Hidden)'!AJ138,'[1]Lists and Calcs (Hidden)'!$AB$34:$AB$732,0))="","",
                                    INDEX('[1]5. Assess Risks'!$L$6:$L$704,MATCH('[1]Lists and Calcs (Hidden)'!AJ138,'[1]Lists and Calcs (Hidden)'!$AB$34:$AB$732,0))
))</f>
        <v/>
      </c>
      <c r="Z114" s="95"/>
      <c r="AA114" s="96"/>
      <c r="AB114" s="85"/>
      <c r="AC114" s="86"/>
      <c r="AD114" s="87" t="str">
        <f>IFERROR(IF('[1]2. Prepare'!$O$50="Quantitative",INDEX('[1]Lists and Calcs (Hidden)'!$M$12:$Q$16,MATCH('[1]6. Risk Register Integration'!AB114,'[1]Lists and Calcs (Hidden)'!$K$12:$K$16,0),MATCH('[1]6. Risk Register Integration'!AC114,'[1]Lists and Calcs (Hidden)'!$M$10:$Q$10,0)),INDEX('[1]Lists and Calcs (Hidden)'!$Z$12:$AD$16,MATCH('[1]6. Risk Register Integration'!AB114,'[1]Lists and Calcs (Hidden)'!$X$12:$X$16,0),MATCH('[1]6. Risk Register Integration'!AC114,'[1]Lists and Calcs (Hidden)'!$Z$10:$AD$10,0))),"")</f>
        <v/>
      </c>
      <c r="AE114" s="54"/>
      <c r="AF114" s="4"/>
      <c r="AG114" s="4"/>
    </row>
    <row r="115" spans="2:33" ht="330" customHeight="1" x14ac:dyDescent="0.2">
      <c r="B115" s="107"/>
      <c r="C115" s="89" t="str">
        <f>IF('[1]Lists and Calcs (Hidden)'!AJ139="","",
                    IF(INDEX('[1]5. Assess Risks'!$B$6:$B$704,MATCH('[1]Lists and Calcs (Hidden)'!AJ139,'[1]Lists and Calcs (Hidden)'!$AB$34:$AB$732,0))="","",
                                    INDEX('[1]5. Assess Risks'!$B$6:$B$704,MATCH('[1]Lists and Calcs (Hidden)'!AJ139,'[1]Lists and Calcs (Hidden)'!$AB$34:$AB$732,0))
))</f>
        <v/>
      </c>
      <c r="D115" s="90" t="str">
        <f>IF(C115="", "", '[1]2. Prepare'!$E$6)</f>
        <v/>
      </c>
      <c r="E115" s="91"/>
      <c r="F115" s="91"/>
      <c r="G115" s="91"/>
      <c r="H115" s="91"/>
      <c r="I115" s="89" t="str">
        <f>IF('[1]Lists and Calcs (Hidden)'!AJ139="","",
                    IF(INDEX('[1]5. Assess Risks'!$D$6:$D$704,MATCH('[1]Lists and Calcs (Hidden)'!AJ139,'[1]Lists and Calcs (Hidden)'!$AB$34:$AB$732,0))="","",
                                    INDEX('[1]5. Assess Risks'!$D$6:$D$704,MATCH('[1]Lists and Calcs (Hidden)'!AJ139,'[1]Lists and Calcs (Hidden)'!$AB$34:$AB$732,0))
))</f>
        <v/>
      </c>
      <c r="J115" s="91"/>
      <c r="K115" s="91"/>
      <c r="L115" s="91"/>
      <c r="M115" s="91"/>
      <c r="N115" s="91"/>
      <c r="O115" s="91"/>
      <c r="P115" s="92" t="str">
        <f>IF('[1]Lists and Calcs (Hidden)'!AJ139="","",
                    IF(INDEX('[1]5. Assess Risks'!$G$6:$G$704,MATCH('[1]Lists and Calcs (Hidden)'!AJ139,'[1]Lists and Calcs (Hidden)'!$AB$34:$AB$732,0))="","",
                                    INDEX('[1]5. Assess Risks'!$G$6:$G$704,MATCH('[1]Lists and Calcs (Hidden)'!AJ139,'[1]Lists and Calcs (Hidden)'!$AB$34:$AB$732,0))
))</f>
        <v/>
      </c>
      <c r="Q115" s="92" t="str">
        <f>IF('[1]Lists and Calcs (Hidden)'!AJ139="","",
                    IF(INDEX('[1]5. Assess Risks'!$H$6:$H$704,MATCH('[1]Lists and Calcs (Hidden)'!AJ139,'[1]Lists and Calcs (Hidden)'!$AB$34:$AB$732,0))="","",
                                    INDEX('[1]5. Assess Risks'!$H$6:$H$704,MATCH('[1]Lists and Calcs (Hidden)'!AJ139,'[1]Lists and Calcs (Hidden)'!$AB$34:$AB$732,0))
))</f>
        <v/>
      </c>
      <c r="R115" s="93" t="str">
        <f>IFERROR(IF('[1]2. Prepare'!$O$50="Quantitative",INDEX('[1]Lists and Calcs (Hidden)'!$M$12:$Q$16,MATCH('[1]6. Risk Register Integration'!P115,'[1]Lists and Calcs (Hidden)'!$K$12:$K$16,0),MATCH('[1]6. Risk Register Integration'!Q115,'[1]Lists and Calcs (Hidden)'!$M$10:$Q$10,0)),INDEX('[1]Lists and Calcs (Hidden)'!$Z$12:$AD$16,MATCH('[1]6. Risk Register Integration'!P115,'[1]Lists and Calcs (Hidden)'!$X$12:$X$16,0),MATCH('[1]6. Risk Register Integration'!Q115,'[1]Lists and Calcs (Hidden)'!$Z$10:$AD$10,0))),"")</f>
        <v/>
      </c>
      <c r="S115" s="94" t="str">
        <f>IF('[1]Lists and Calcs (Hidden)'!AJ139="","",
                    IF(INDEX('[1]5. Assess Risks'!$J$6:$J$704,MATCH('[1]Lists and Calcs (Hidden)'!AJ139,'[1]Lists and Calcs (Hidden)'!$AB$34:$AB$732,0))="","",
                                    INDEX('[1]5. Assess Risks'!$J$6:$J$704,MATCH('[1]Lists and Calcs (Hidden)'!AJ139,'[1]Lists and Calcs (Hidden)'!$AB$34:$AB$732,0))
))</f>
        <v/>
      </c>
      <c r="T115" s="102"/>
      <c r="U115" s="105"/>
      <c r="V115" s="106"/>
      <c r="W115" s="105"/>
      <c r="X115" s="105"/>
      <c r="Y115" s="89" t="str">
        <f>IF('[1]Lists and Calcs (Hidden)'!AJ139="","",
                    IF(INDEX('[1]5. Assess Risks'!$L$6:$L$704,MATCH('[1]Lists and Calcs (Hidden)'!AJ139,'[1]Lists and Calcs (Hidden)'!$AB$34:$AB$732,0))="","",
                                    INDEX('[1]5. Assess Risks'!$L$6:$L$704,MATCH('[1]Lists and Calcs (Hidden)'!AJ139,'[1]Lists and Calcs (Hidden)'!$AB$34:$AB$732,0))
))</f>
        <v/>
      </c>
      <c r="Z115" s="95"/>
      <c r="AA115" s="96"/>
      <c r="AB115" s="85"/>
      <c r="AC115" s="86"/>
      <c r="AD115" s="87" t="str">
        <f>IFERROR(IF('[1]2. Prepare'!$O$50="Quantitative",INDEX('[1]Lists and Calcs (Hidden)'!$M$12:$Q$16,MATCH('[1]6. Risk Register Integration'!AB115,'[1]Lists and Calcs (Hidden)'!$K$12:$K$16,0),MATCH('[1]6. Risk Register Integration'!AC115,'[1]Lists and Calcs (Hidden)'!$M$10:$Q$10,0)),INDEX('[1]Lists and Calcs (Hidden)'!$Z$12:$AD$16,MATCH('[1]6. Risk Register Integration'!AB115,'[1]Lists and Calcs (Hidden)'!$X$12:$X$16,0),MATCH('[1]6. Risk Register Integration'!AC115,'[1]Lists and Calcs (Hidden)'!$Z$10:$AD$10,0))),"")</f>
        <v/>
      </c>
      <c r="AE115" s="54"/>
      <c r="AF115" s="4"/>
      <c r="AG115" s="4"/>
    </row>
    <row r="116" spans="2:33" ht="330" customHeight="1" x14ac:dyDescent="0.2">
      <c r="B116" s="107"/>
      <c r="C116" s="98" t="str">
        <f>IF('[1]Lists and Calcs (Hidden)'!AJ140="","",
                    IF(INDEX('[1]5. Assess Risks'!$B$6:$B$704,MATCH('[1]Lists and Calcs (Hidden)'!AJ140,'[1]Lists and Calcs (Hidden)'!$AB$34:$AB$732,0))="","",
                                    INDEX('[1]5. Assess Risks'!$B$6:$B$704,MATCH('[1]Lists and Calcs (Hidden)'!AJ140,'[1]Lists and Calcs (Hidden)'!$AB$34:$AB$732,0))
))</f>
        <v/>
      </c>
      <c r="D116" s="90" t="str">
        <f>IF(C116="", "", '[1]2. Prepare'!$E$6)</f>
        <v/>
      </c>
      <c r="E116" s="91"/>
      <c r="F116" s="91"/>
      <c r="G116" s="91"/>
      <c r="H116" s="91"/>
      <c r="I116" s="98" t="str">
        <f>IF('[1]Lists and Calcs (Hidden)'!AJ140="","",
                    IF(INDEX('[1]5. Assess Risks'!$D$6:$D$704,MATCH('[1]Lists and Calcs (Hidden)'!AJ140,'[1]Lists and Calcs (Hidden)'!$AB$34:$AB$732,0))="","",
                                    INDEX('[1]5. Assess Risks'!$D$6:$D$704,MATCH('[1]Lists and Calcs (Hidden)'!AJ140,'[1]Lists and Calcs (Hidden)'!$AB$34:$AB$732,0))
))</f>
        <v/>
      </c>
      <c r="J116" s="91"/>
      <c r="K116" s="91"/>
      <c r="L116" s="91"/>
      <c r="M116" s="91"/>
      <c r="N116" s="91"/>
      <c r="O116" s="91"/>
      <c r="P116" s="99" t="str">
        <f>IF('[1]Lists and Calcs (Hidden)'!AJ140="","",
                    IF(INDEX('[1]5. Assess Risks'!$G$6:$G$704,MATCH('[1]Lists and Calcs (Hidden)'!AJ140,'[1]Lists and Calcs (Hidden)'!$AB$34:$AB$732,0))="","",
                                    INDEX('[1]5. Assess Risks'!$G$6:$G$704,MATCH('[1]Lists and Calcs (Hidden)'!AJ140,'[1]Lists and Calcs (Hidden)'!$AB$34:$AB$732,0))
))</f>
        <v/>
      </c>
      <c r="Q116" s="99" t="str">
        <f>IF('[1]Lists and Calcs (Hidden)'!AJ140="","",
                    IF(INDEX('[1]5. Assess Risks'!$H$6:$H$704,MATCH('[1]Lists and Calcs (Hidden)'!AJ140,'[1]Lists and Calcs (Hidden)'!$AB$34:$AB$732,0))="","",
                                    INDEX('[1]5. Assess Risks'!$H$6:$H$704,MATCH('[1]Lists and Calcs (Hidden)'!AJ140,'[1]Lists and Calcs (Hidden)'!$AB$34:$AB$732,0))
))</f>
        <v/>
      </c>
      <c r="R116" s="100" t="str">
        <f>IFERROR(IF('[1]2. Prepare'!$O$50="Quantitative",INDEX('[1]Lists and Calcs (Hidden)'!$M$12:$Q$16,MATCH('[1]6. Risk Register Integration'!P116,'[1]Lists and Calcs (Hidden)'!$K$12:$K$16,0),MATCH('[1]6. Risk Register Integration'!Q116,'[1]Lists and Calcs (Hidden)'!$M$10:$Q$10,0)),INDEX('[1]Lists and Calcs (Hidden)'!$Z$12:$AD$16,MATCH('[1]6. Risk Register Integration'!P116,'[1]Lists and Calcs (Hidden)'!$X$12:$X$16,0),MATCH('[1]6. Risk Register Integration'!Q116,'[1]Lists and Calcs (Hidden)'!$Z$10:$AD$10,0))),"")</f>
        <v/>
      </c>
      <c r="S116" s="101" t="str">
        <f>IF('[1]Lists and Calcs (Hidden)'!AJ140="","",
                    IF(INDEX('[1]5. Assess Risks'!$J$6:$J$704,MATCH('[1]Lists and Calcs (Hidden)'!AJ140,'[1]Lists and Calcs (Hidden)'!$AB$34:$AB$732,0))="","",
                                    INDEX('[1]5. Assess Risks'!$J$6:$J$704,MATCH('[1]Lists and Calcs (Hidden)'!AJ140,'[1]Lists and Calcs (Hidden)'!$AB$34:$AB$732,0))
))</f>
        <v/>
      </c>
      <c r="T116" s="102"/>
      <c r="U116" s="105"/>
      <c r="V116" s="106"/>
      <c r="W116" s="105"/>
      <c r="X116" s="105"/>
      <c r="Y116" s="98" t="str">
        <f>IF('[1]Lists and Calcs (Hidden)'!AJ140="","",
                    IF(INDEX('[1]5. Assess Risks'!$L$6:$L$704,MATCH('[1]Lists and Calcs (Hidden)'!AJ140,'[1]Lists and Calcs (Hidden)'!$AB$34:$AB$732,0))="","",
                                    INDEX('[1]5. Assess Risks'!$L$6:$L$704,MATCH('[1]Lists and Calcs (Hidden)'!AJ140,'[1]Lists and Calcs (Hidden)'!$AB$34:$AB$732,0))
))</f>
        <v/>
      </c>
      <c r="Z116" s="95"/>
      <c r="AA116" s="96"/>
      <c r="AB116" s="85"/>
      <c r="AC116" s="86"/>
      <c r="AD116" s="87" t="str">
        <f>IFERROR(IF('[1]2. Prepare'!$O$50="Quantitative",INDEX('[1]Lists and Calcs (Hidden)'!$M$12:$Q$16,MATCH('[1]6. Risk Register Integration'!AB116,'[1]Lists and Calcs (Hidden)'!$K$12:$K$16,0),MATCH('[1]6. Risk Register Integration'!AC116,'[1]Lists and Calcs (Hidden)'!$M$10:$Q$10,0)),INDEX('[1]Lists and Calcs (Hidden)'!$Z$12:$AD$16,MATCH('[1]6. Risk Register Integration'!AB116,'[1]Lists and Calcs (Hidden)'!$X$12:$X$16,0),MATCH('[1]6. Risk Register Integration'!AC116,'[1]Lists and Calcs (Hidden)'!$Z$10:$AD$10,0))),"")</f>
        <v/>
      </c>
      <c r="AE116" s="54"/>
      <c r="AF116" s="4"/>
      <c r="AG116" s="4"/>
    </row>
    <row r="117" spans="2:33" ht="330" customHeight="1" x14ac:dyDescent="0.2">
      <c r="B117" s="108"/>
      <c r="C117" s="89" t="str">
        <f>IF('[1]Lists and Calcs (Hidden)'!AJ141="","",
                    IF(INDEX('[1]5. Assess Risks'!$B$6:$B$704,MATCH('[1]Lists and Calcs (Hidden)'!AJ141,'[1]Lists and Calcs (Hidden)'!$AB$34:$AB$732,0))="","",
                                    INDEX('[1]5. Assess Risks'!$B$6:$B$704,MATCH('[1]Lists and Calcs (Hidden)'!AJ141,'[1]Lists and Calcs (Hidden)'!$AB$34:$AB$732,0))
))</f>
        <v/>
      </c>
      <c r="D117" s="90" t="str">
        <f>IF(C117="", "", '[1]2. Prepare'!$E$6)</f>
        <v/>
      </c>
      <c r="E117" s="91"/>
      <c r="F117" s="91"/>
      <c r="G117" s="91"/>
      <c r="H117" s="91"/>
      <c r="I117" s="89" t="str">
        <f>IF('[1]Lists and Calcs (Hidden)'!AJ141="","",
                    IF(INDEX('[1]5. Assess Risks'!$D$6:$D$704,MATCH('[1]Lists and Calcs (Hidden)'!AJ141,'[1]Lists and Calcs (Hidden)'!$AB$34:$AB$732,0))="","",
                                    INDEX('[1]5. Assess Risks'!$D$6:$D$704,MATCH('[1]Lists and Calcs (Hidden)'!AJ141,'[1]Lists and Calcs (Hidden)'!$AB$34:$AB$732,0))
))</f>
        <v/>
      </c>
      <c r="J117" s="91"/>
      <c r="K117" s="91"/>
      <c r="L117" s="91"/>
      <c r="M117" s="91"/>
      <c r="N117" s="91"/>
      <c r="O117" s="91"/>
      <c r="P117" s="92" t="str">
        <f>IF('[1]Lists and Calcs (Hidden)'!AJ141="","",
                    IF(INDEX('[1]5. Assess Risks'!$G$6:$G$704,MATCH('[1]Lists and Calcs (Hidden)'!AJ141,'[1]Lists and Calcs (Hidden)'!$AB$34:$AB$732,0))="","",
                                    INDEX('[1]5. Assess Risks'!$G$6:$G$704,MATCH('[1]Lists and Calcs (Hidden)'!AJ141,'[1]Lists and Calcs (Hidden)'!$AB$34:$AB$732,0))
))</f>
        <v/>
      </c>
      <c r="Q117" s="92" t="str">
        <f>IF('[1]Lists and Calcs (Hidden)'!AJ141="","",
                    IF(INDEX('[1]5. Assess Risks'!$H$6:$H$704,MATCH('[1]Lists and Calcs (Hidden)'!AJ141,'[1]Lists and Calcs (Hidden)'!$AB$34:$AB$732,0))="","",
                                    INDEX('[1]5. Assess Risks'!$H$6:$H$704,MATCH('[1]Lists and Calcs (Hidden)'!AJ141,'[1]Lists and Calcs (Hidden)'!$AB$34:$AB$732,0))
))</f>
        <v/>
      </c>
      <c r="R117" s="93" t="str">
        <f>IFERROR(IF('[1]2. Prepare'!$O$50="Quantitative",INDEX('[1]Lists and Calcs (Hidden)'!$M$12:$Q$16,MATCH('[1]6. Risk Register Integration'!P117,'[1]Lists and Calcs (Hidden)'!$K$12:$K$16,0),MATCH('[1]6. Risk Register Integration'!Q117,'[1]Lists and Calcs (Hidden)'!$M$10:$Q$10,0)),INDEX('[1]Lists and Calcs (Hidden)'!$Z$12:$AD$16,MATCH('[1]6. Risk Register Integration'!P117,'[1]Lists and Calcs (Hidden)'!$X$12:$X$16,0),MATCH('[1]6. Risk Register Integration'!Q117,'[1]Lists and Calcs (Hidden)'!$Z$10:$AD$10,0))),"")</f>
        <v/>
      </c>
      <c r="S117" s="94" t="str">
        <f>IF('[1]Lists and Calcs (Hidden)'!AJ141="","",
                    IF(INDEX('[1]5. Assess Risks'!$J$6:$J$704,MATCH('[1]Lists and Calcs (Hidden)'!AJ141,'[1]Lists and Calcs (Hidden)'!$AB$34:$AB$732,0))="","",
                                    INDEX('[1]5. Assess Risks'!$J$6:$J$704,MATCH('[1]Lists and Calcs (Hidden)'!AJ141,'[1]Lists and Calcs (Hidden)'!$AB$34:$AB$732,0))
))</f>
        <v/>
      </c>
      <c r="T117" s="102"/>
      <c r="U117" s="105"/>
      <c r="V117" s="106"/>
      <c r="W117" s="105"/>
      <c r="X117" s="105"/>
      <c r="Y117" s="89" t="str">
        <f>IF('[1]Lists and Calcs (Hidden)'!AJ141="","",
                    IF(INDEX('[1]5. Assess Risks'!$L$6:$L$704,MATCH('[1]Lists and Calcs (Hidden)'!AJ141,'[1]Lists and Calcs (Hidden)'!$AB$34:$AB$732,0))="","",
                                    INDEX('[1]5. Assess Risks'!$L$6:$L$704,MATCH('[1]Lists and Calcs (Hidden)'!AJ141,'[1]Lists and Calcs (Hidden)'!$AB$34:$AB$732,0))
))</f>
        <v/>
      </c>
      <c r="Z117" s="95"/>
      <c r="AA117" s="96"/>
      <c r="AB117" s="85"/>
      <c r="AC117" s="86"/>
      <c r="AD117" s="87" t="str">
        <f>IFERROR(IF('[1]2. Prepare'!$O$50="Quantitative",INDEX('[1]Lists and Calcs (Hidden)'!$M$12:$Q$16,MATCH('[1]6. Risk Register Integration'!AB117,'[1]Lists and Calcs (Hidden)'!$K$12:$K$16,0),MATCH('[1]6. Risk Register Integration'!AC117,'[1]Lists and Calcs (Hidden)'!$M$10:$Q$10,0)),INDEX('[1]Lists and Calcs (Hidden)'!$Z$12:$AD$16,MATCH('[1]6. Risk Register Integration'!AB117,'[1]Lists and Calcs (Hidden)'!$X$12:$X$16,0),MATCH('[1]6. Risk Register Integration'!AC117,'[1]Lists and Calcs (Hidden)'!$Z$10:$AD$10,0))),"")</f>
        <v/>
      </c>
      <c r="AE117" s="54"/>
      <c r="AF117" s="4"/>
      <c r="AG117" s="4"/>
    </row>
    <row r="118" spans="2:33" ht="330" customHeight="1" x14ac:dyDescent="0.2">
      <c r="B118" s="107"/>
      <c r="C118" s="98" t="str">
        <f>IF('[1]Lists and Calcs (Hidden)'!AJ142="","",
                    IF(INDEX('[1]5. Assess Risks'!$B$6:$B$704,MATCH('[1]Lists and Calcs (Hidden)'!AJ142,'[1]Lists and Calcs (Hidden)'!$AB$34:$AB$732,0))="","",
                                    INDEX('[1]5. Assess Risks'!$B$6:$B$704,MATCH('[1]Lists and Calcs (Hidden)'!AJ142,'[1]Lists and Calcs (Hidden)'!$AB$34:$AB$732,0))
))</f>
        <v/>
      </c>
      <c r="D118" s="90" t="str">
        <f>IF(C118="", "", '[1]2. Prepare'!$E$6)</f>
        <v/>
      </c>
      <c r="E118" s="91"/>
      <c r="F118" s="91"/>
      <c r="G118" s="91"/>
      <c r="H118" s="91"/>
      <c r="I118" s="98" t="str">
        <f>IF('[1]Lists and Calcs (Hidden)'!AJ142="","",
                    IF(INDEX('[1]5. Assess Risks'!$D$6:$D$704,MATCH('[1]Lists and Calcs (Hidden)'!AJ142,'[1]Lists and Calcs (Hidden)'!$AB$34:$AB$732,0))="","",
                                    INDEX('[1]5. Assess Risks'!$D$6:$D$704,MATCH('[1]Lists and Calcs (Hidden)'!AJ142,'[1]Lists and Calcs (Hidden)'!$AB$34:$AB$732,0))
))</f>
        <v/>
      </c>
      <c r="J118" s="91"/>
      <c r="K118" s="91"/>
      <c r="L118" s="91"/>
      <c r="M118" s="91"/>
      <c r="N118" s="91"/>
      <c r="O118" s="91"/>
      <c r="P118" s="99" t="str">
        <f>IF('[1]Lists and Calcs (Hidden)'!AJ142="","",
                    IF(INDEX('[1]5. Assess Risks'!$G$6:$G$704,MATCH('[1]Lists and Calcs (Hidden)'!AJ142,'[1]Lists and Calcs (Hidden)'!$AB$34:$AB$732,0))="","",
                                    INDEX('[1]5. Assess Risks'!$G$6:$G$704,MATCH('[1]Lists and Calcs (Hidden)'!AJ142,'[1]Lists and Calcs (Hidden)'!$AB$34:$AB$732,0))
))</f>
        <v/>
      </c>
      <c r="Q118" s="99" t="str">
        <f>IF('[1]Lists and Calcs (Hidden)'!AJ142="","",
                    IF(INDEX('[1]5. Assess Risks'!$H$6:$H$704,MATCH('[1]Lists and Calcs (Hidden)'!AJ142,'[1]Lists and Calcs (Hidden)'!$AB$34:$AB$732,0))="","",
                                    INDEX('[1]5. Assess Risks'!$H$6:$H$704,MATCH('[1]Lists and Calcs (Hidden)'!AJ142,'[1]Lists and Calcs (Hidden)'!$AB$34:$AB$732,0))
))</f>
        <v/>
      </c>
      <c r="R118" s="100" t="str">
        <f>IFERROR(IF('[1]2. Prepare'!$O$50="Quantitative",INDEX('[1]Lists and Calcs (Hidden)'!$M$12:$Q$16,MATCH('[1]6. Risk Register Integration'!P118,'[1]Lists and Calcs (Hidden)'!$K$12:$K$16,0),MATCH('[1]6. Risk Register Integration'!Q118,'[1]Lists and Calcs (Hidden)'!$M$10:$Q$10,0)),INDEX('[1]Lists and Calcs (Hidden)'!$Z$12:$AD$16,MATCH('[1]6. Risk Register Integration'!P118,'[1]Lists and Calcs (Hidden)'!$X$12:$X$16,0),MATCH('[1]6. Risk Register Integration'!Q118,'[1]Lists and Calcs (Hidden)'!$Z$10:$AD$10,0))),"")</f>
        <v/>
      </c>
      <c r="S118" s="101" t="str">
        <f>IF('[1]Lists and Calcs (Hidden)'!AJ142="","",
                    IF(INDEX('[1]5. Assess Risks'!$J$6:$J$704,MATCH('[1]Lists and Calcs (Hidden)'!AJ142,'[1]Lists and Calcs (Hidden)'!$AB$34:$AB$732,0))="","",
                                    INDEX('[1]5. Assess Risks'!$J$6:$J$704,MATCH('[1]Lists and Calcs (Hidden)'!AJ142,'[1]Lists and Calcs (Hidden)'!$AB$34:$AB$732,0))
))</f>
        <v/>
      </c>
      <c r="T118" s="102"/>
      <c r="U118" s="105"/>
      <c r="V118" s="106"/>
      <c r="W118" s="105"/>
      <c r="X118" s="105"/>
      <c r="Y118" s="98" t="str">
        <f>IF('[1]Lists and Calcs (Hidden)'!AJ142="","",
                    IF(INDEX('[1]5. Assess Risks'!$L$6:$L$704,MATCH('[1]Lists and Calcs (Hidden)'!AJ142,'[1]Lists and Calcs (Hidden)'!$AB$34:$AB$732,0))="","",
                                    INDEX('[1]5. Assess Risks'!$L$6:$L$704,MATCH('[1]Lists and Calcs (Hidden)'!AJ142,'[1]Lists and Calcs (Hidden)'!$AB$34:$AB$732,0))
))</f>
        <v/>
      </c>
      <c r="Z118" s="95"/>
      <c r="AA118" s="96"/>
      <c r="AB118" s="85"/>
      <c r="AC118" s="86"/>
      <c r="AD118" s="87" t="str">
        <f>IFERROR(IF('[1]2. Prepare'!$O$50="Quantitative",INDEX('[1]Lists and Calcs (Hidden)'!$M$12:$Q$16,MATCH('[1]6. Risk Register Integration'!AB118,'[1]Lists and Calcs (Hidden)'!$K$12:$K$16,0),MATCH('[1]6. Risk Register Integration'!AC118,'[1]Lists and Calcs (Hidden)'!$M$10:$Q$10,0)),INDEX('[1]Lists and Calcs (Hidden)'!$Z$12:$AD$16,MATCH('[1]6. Risk Register Integration'!AB118,'[1]Lists and Calcs (Hidden)'!$X$12:$X$16,0),MATCH('[1]6. Risk Register Integration'!AC118,'[1]Lists and Calcs (Hidden)'!$Z$10:$AD$10,0))),"")</f>
        <v/>
      </c>
      <c r="AE118" s="54"/>
      <c r="AF118" s="4"/>
      <c r="AG118" s="4"/>
    </row>
    <row r="119" spans="2:33" ht="330" customHeight="1" x14ac:dyDescent="0.2">
      <c r="B119" s="108"/>
      <c r="C119" s="89" t="str">
        <f>IF('[1]Lists and Calcs (Hidden)'!AJ143="","",
                    IF(INDEX('[1]5. Assess Risks'!$B$6:$B$704,MATCH('[1]Lists and Calcs (Hidden)'!AJ143,'[1]Lists and Calcs (Hidden)'!$AB$34:$AB$732,0))="","",
                                    INDEX('[1]5. Assess Risks'!$B$6:$B$704,MATCH('[1]Lists and Calcs (Hidden)'!AJ143,'[1]Lists and Calcs (Hidden)'!$AB$34:$AB$732,0))
))</f>
        <v/>
      </c>
      <c r="D119" s="90" t="str">
        <f>IF(C119="", "", '[1]2. Prepare'!$E$6)</f>
        <v/>
      </c>
      <c r="E119" s="91"/>
      <c r="F119" s="91"/>
      <c r="G119" s="91"/>
      <c r="H119" s="91"/>
      <c r="I119" s="89" t="str">
        <f>IF('[1]Lists and Calcs (Hidden)'!AJ143="","",
                    IF(INDEX('[1]5. Assess Risks'!$D$6:$D$704,MATCH('[1]Lists and Calcs (Hidden)'!AJ143,'[1]Lists and Calcs (Hidden)'!$AB$34:$AB$732,0))="","",
                                    INDEX('[1]5. Assess Risks'!$D$6:$D$704,MATCH('[1]Lists and Calcs (Hidden)'!AJ143,'[1]Lists and Calcs (Hidden)'!$AB$34:$AB$732,0))
))</f>
        <v/>
      </c>
      <c r="J119" s="91"/>
      <c r="K119" s="91"/>
      <c r="L119" s="91"/>
      <c r="M119" s="91"/>
      <c r="N119" s="91"/>
      <c r="O119" s="91"/>
      <c r="P119" s="92" t="str">
        <f>IF('[1]Lists and Calcs (Hidden)'!AJ143="","",
                    IF(INDEX('[1]5. Assess Risks'!$G$6:$G$704,MATCH('[1]Lists and Calcs (Hidden)'!AJ143,'[1]Lists and Calcs (Hidden)'!$AB$34:$AB$732,0))="","",
                                    INDEX('[1]5. Assess Risks'!$G$6:$G$704,MATCH('[1]Lists and Calcs (Hidden)'!AJ143,'[1]Lists and Calcs (Hidden)'!$AB$34:$AB$732,0))
))</f>
        <v/>
      </c>
      <c r="Q119" s="92" t="str">
        <f>IF('[1]Lists and Calcs (Hidden)'!AJ143="","",
                    IF(INDEX('[1]5. Assess Risks'!$H$6:$H$704,MATCH('[1]Lists and Calcs (Hidden)'!AJ143,'[1]Lists and Calcs (Hidden)'!$AB$34:$AB$732,0))="","",
                                    INDEX('[1]5. Assess Risks'!$H$6:$H$704,MATCH('[1]Lists and Calcs (Hidden)'!AJ143,'[1]Lists and Calcs (Hidden)'!$AB$34:$AB$732,0))
))</f>
        <v/>
      </c>
      <c r="R119" s="93" t="str">
        <f>IFERROR(IF('[1]2. Prepare'!$O$50="Quantitative",INDEX('[1]Lists and Calcs (Hidden)'!$M$12:$Q$16,MATCH('[1]6. Risk Register Integration'!P119,'[1]Lists and Calcs (Hidden)'!$K$12:$K$16,0),MATCH('[1]6. Risk Register Integration'!Q119,'[1]Lists and Calcs (Hidden)'!$M$10:$Q$10,0)),INDEX('[1]Lists and Calcs (Hidden)'!$Z$12:$AD$16,MATCH('[1]6. Risk Register Integration'!P119,'[1]Lists and Calcs (Hidden)'!$X$12:$X$16,0),MATCH('[1]6. Risk Register Integration'!Q119,'[1]Lists and Calcs (Hidden)'!$Z$10:$AD$10,0))),"")</f>
        <v/>
      </c>
      <c r="S119" s="94" t="str">
        <f>IF('[1]Lists and Calcs (Hidden)'!AJ143="","",
                    IF(INDEX('[1]5. Assess Risks'!$J$6:$J$704,MATCH('[1]Lists and Calcs (Hidden)'!AJ143,'[1]Lists and Calcs (Hidden)'!$AB$34:$AB$732,0))="","",
                                    INDEX('[1]5. Assess Risks'!$J$6:$J$704,MATCH('[1]Lists and Calcs (Hidden)'!AJ143,'[1]Lists and Calcs (Hidden)'!$AB$34:$AB$732,0))
))</f>
        <v/>
      </c>
      <c r="T119" s="102"/>
      <c r="U119" s="105"/>
      <c r="V119" s="106"/>
      <c r="W119" s="105"/>
      <c r="X119" s="105"/>
      <c r="Y119" s="89" t="str">
        <f>IF('[1]Lists and Calcs (Hidden)'!AJ143="","",
                    IF(INDEX('[1]5. Assess Risks'!$L$6:$L$704,MATCH('[1]Lists and Calcs (Hidden)'!AJ143,'[1]Lists and Calcs (Hidden)'!$AB$34:$AB$732,0))="","",
                                    INDEX('[1]5. Assess Risks'!$L$6:$L$704,MATCH('[1]Lists and Calcs (Hidden)'!AJ143,'[1]Lists and Calcs (Hidden)'!$AB$34:$AB$732,0))
))</f>
        <v/>
      </c>
      <c r="Z119" s="95"/>
      <c r="AA119" s="96"/>
      <c r="AB119" s="85"/>
      <c r="AC119" s="86"/>
      <c r="AD119" s="87" t="str">
        <f>IFERROR(IF('[1]2. Prepare'!$O$50="Quantitative",INDEX('[1]Lists and Calcs (Hidden)'!$M$12:$Q$16,MATCH('[1]6. Risk Register Integration'!AB119,'[1]Lists and Calcs (Hidden)'!$K$12:$K$16,0),MATCH('[1]6. Risk Register Integration'!AC119,'[1]Lists and Calcs (Hidden)'!$M$10:$Q$10,0)),INDEX('[1]Lists and Calcs (Hidden)'!$Z$12:$AD$16,MATCH('[1]6. Risk Register Integration'!AB119,'[1]Lists and Calcs (Hidden)'!$X$12:$X$16,0),MATCH('[1]6. Risk Register Integration'!AC119,'[1]Lists and Calcs (Hidden)'!$Z$10:$AD$10,0))),"")</f>
        <v/>
      </c>
      <c r="AE119" s="54"/>
      <c r="AF119" s="4"/>
      <c r="AG119" s="4"/>
    </row>
    <row r="120" spans="2:33" ht="330" customHeight="1" x14ac:dyDescent="0.2">
      <c r="B120" s="107"/>
      <c r="C120" s="98" t="str">
        <f>IF('[1]Lists and Calcs (Hidden)'!AJ144="","",
                    IF(INDEX('[1]5. Assess Risks'!$B$6:$B$704,MATCH('[1]Lists and Calcs (Hidden)'!AJ144,'[1]Lists and Calcs (Hidden)'!$AB$34:$AB$732,0))="","",
                                    INDEX('[1]5. Assess Risks'!$B$6:$B$704,MATCH('[1]Lists and Calcs (Hidden)'!AJ144,'[1]Lists and Calcs (Hidden)'!$AB$34:$AB$732,0))
))</f>
        <v/>
      </c>
      <c r="D120" s="90" t="str">
        <f>IF(C120="", "", '[1]2. Prepare'!$E$6)</f>
        <v/>
      </c>
      <c r="E120" s="91"/>
      <c r="F120" s="91"/>
      <c r="G120" s="91"/>
      <c r="H120" s="91"/>
      <c r="I120" s="98" t="str">
        <f>IF('[1]Lists and Calcs (Hidden)'!AJ144="","",
                    IF(INDEX('[1]5. Assess Risks'!$D$6:$D$704,MATCH('[1]Lists and Calcs (Hidden)'!AJ144,'[1]Lists and Calcs (Hidden)'!$AB$34:$AB$732,0))="","",
                                    INDEX('[1]5. Assess Risks'!$D$6:$D$704,MATCH('[1]Lists and Calcs (Hidden)'!AJ144,'[1]Lists and Calcs (Hidden)'!$AB$34:$AB$732,0))
))</f>
        <v/>
      </c>
      <c r="J120" s="91"/>
      <c r="K120" s="91"/>
      <c r="L120" s="91"/>
      <c r="M120" s="91"/>
      <c r="N120" s="91"/>
      <c r="O120" s="91"/>
      <c r="P120" s="99" t="str">
        <f>IF('[1]Lists and Calcs (Hidden)'!AJ144="","",
                    IF(INDEX('[1]5. Assess Risks'!$G$6:$G$704,MATCH('[1]Lists and Calcs (Hidden)'!AJ144,'[1]Lists and Calcs (Hidden)'!$AB$34:$AB$732,0))="","",
                                    INDEX('[1]5. Assess Risks'!$G$6:$G$704,MATCH('[1]Lists and Calcs (Hidden)'!AJ144,'[1]Lists and Calcs (Hidden)'!$AB$34:$AB$732,0))
))</f>
        <v/>
      </c>
      <c r="Q120" s="99" t="str">
        <f>IF('[1]Lists and Calcs (Hidden)'!AJ144="","",
                    IF(INDEX('[1]5. Assess Risks'!$H$6:$H$704,MATCH('[1]Lists and Calcs (Hidden)'!AJ144,'[1]Lists and Calcs (Hidden)'!$AB$34:$AB$732,0))="","",
                                    INDEX('[1]5. Assess Risks'!$H$6:$H$704,MATCH('[1]Lists and Calcs (Hidden)'!AJ144,'[1]Lists and Calcs (Hidden)'!$AB$34:$AB$732,0))
))</f>
        <v/>
      </c>
      <c r="R120" s="100" t="str">
        <f>IFERROR(IF('[1]2. Prepare'!$O$50="Quantitative",INDEX('[1]Lists and Calcs (Hidden)'!$M$12:$Q$16,MATCH('[1]6. Risk Register Integration'!P120,'[1]Lists and Calcs (Hidden)'!$K$12:$K$16,0),MATCH('[1]6. Risk Register Integration'!Q120,'[1]Lists and Calcs (Hidden)'!$M$10:$Q$10,0)),INDEX('[1]Lists and Calcs (Hidden)'!$Z$12:$AD$16,MATCH('[1]6. Risk Register Integration'!P120,'[1]Lists and Calcs (Hidden)'!$X$12:$X$16,0),MATCH('[1]6. Risk Register Integration'!Q120,'[1]Lists and Calcs (Hidden)'!$Z$10:$AD$10,0))),"")</f>
        <v/>
      </c>
      <c r="S120" s="101" t="str">
        <f>IF('[1]Lists and Calcs (Hidden)'!AJ144="","",
                    IF(INDEX('[1]5. Assess Risks'!$J$6:$J$704,MATCH('[1]Lists and Calcs (Hidden)'!AJ144,'[1]Lists and Calcs (Hidden)'!$AB$34:$AB$732,0))="","",
                                    INDEX('[1]5. Assess Risks'!$J$6:$J$704,MATCH('[1]Lists and Calcs (Hidden)'!AJ144,'[1]Lists and Calcs (Hidden)'!$AB$34:$AB$732,0))
))</f>
        <v/>
      </c>
      <c r="T120" s="102"/>
      <c r="U120" s="105"/>
      <c r="V120" s="106"/>
      <c r="W120" s="105"/>
      <c r="X120" s="105"/>
      <c r="Y120" s="98" t="str">
        <f>IF('[1]Lists and Calcs (Hidden)'!AJ144="","",
                    IF(INDEX('[1]5. Assess Risks'!$L$6:$L$704,MATCH('[1]Lists and Calcs (Hidden)'!AJ144,'[1]Lists and Calcs (Hidden)'!$AB$34:$AB$732,0))="","",
                                    INDEX('[1]5. Assess Risks'!$L$6:$L$704,MATCH('[1]Lists and Calcs (Hidden)'!AJ144,'[1]Lists and Calcs (Hidden)'!$AB$34:$AB$732,0))
))</f>
        <v/>
      </c>
      <c r="Z120" s="95"/>
      <c r="AA120" s="96"/>
      <c r="AB120" s="85"/>
      <c r="AC120" s="86"/>
      <c r="AD120" s="87" t="str">
        <f>IFERROR(IF('[1]2. Prepare'!$O$50="Quantitative",INDEX('[1]Lists and Calcs (Hidden)'!$M$12:$Q$16,MATCH('[1]6. Risk Register Integration'!AB120,'[1]Lists and Calcs (Hidden)'!$K$12:$K$16,0),MATCH('[1]6. Risk Register Integration'!AC120,'[1]Lists and Calcs (Hidden)'!$M$10:$Q$10,0)),INDEX('[1]Lists and Calcs (Hidden)'!$Z$12:$AD$16,MATCH('[1]6. Risk Register Integration'!AB120,'[1]Lists and Calcs (Hidden)'!$X$12:$X$16,0),MATCH('[1]6. Risk Register Integration'!AC120,'[1]Lists and Calcs (Hidden)'!$Z$10:$AD$10,0))),"")</f>
        <v/>
      </c>
      <c r="AE120" s="54"/>
      <c r="AF120" s="4"/>
      <c r="AG120" s="4"/>
    </row>
    <row r="121" spans="2:33" ht="330" customHeight="1" x14ac:dyDescent="0.2">
      <c r="B121" s="107"/>
      <c r="C121" s="89" t="str">
        <f>IF('[1]Lists and Calcs (Hidden)'!AJ145="","",
                    IF(INDEX('[1]5. Assess Risks'!$B$6:$B$704,MATCH('[1]Lists and Calcs (Hidden)'!AJ145,'[1]Lists and Calcs (Hidden)'!$AB$34:$AB$732,0))="","",
                                    INDEX('[1]5. Assess Risks'!$B$6:$B$704,MATCH('[1]Lists and Calcs (Hidden)'!AJ145,'[1]Lists and Calcs (Hidden)'!$AB$34:$AB$732,0))
))</f>
        <v/>
      </c>
      <c r="D121" s="90" t="str">
        <f>IF(C121="", "", '[1]2. Prepare'!$E$6)</f>
        <v/>
      </c>
      <c r="E121" s="91"/>
      <c r="F121" s="91"/>
      <c r="G121" s="91"/>
      <c r="H121" s="91"/>
      <c r="I121" s="89" t="str">
        <f>IF('[1]Lists and Calcs (Hidden)'!AJ145="","",
                    IF(INDEX('[1]5. Assess Risks'!$D$6:$D$704,MATCH('[1]Lists and Calcs (Hidden)'!AJ145,'[1]Lists and Calcs (Hidden)'!$AB$34:$AB$732,0))="","",
                                    INDEX('[1]5. Assess Risks'!$D$6:$D$704,MATCH('[1]Lists and Calcs (Hidden)'!AJ145,'[1]Lists and Calcs (Hidden)'!$AB$34:$AB$732,0))
))</f>
        <v/>
      </c>
      <c r="J121" s="91"/>
      <c r="K121" s="91"/>
      <c r="L121" s="91"/>
      <c r="M121" s="91"/>
      <c r="N121" s="91"/>
      <c r="O121" s="91"/>
      <c r="P121" s="92" t="str">
        <f>IF('[1]Lists and Calcs (Hidden)'!AJ145="","",
                    IF(INDEX('[1]5. Assess Risks'!$G$6:$G$704,MATCH('[1]Lists and Calcs (Hidden)'!AJ145,'[1]Lists and Calcs (Hidden)'!$AB$34:$AB$732,0))="","",
                                    INDEX('[1]5. Assess Risks'!$G$6:$G$704,MATCH('[1]Lists and Calcs (Hidden)'!AJ145,'[1]Lists and Calcs (Hidden)'!$AB$34:$AB$732,0))
))</f>
        <v/>
      </c>
      <c r="Q121" s="92" t="str">
        <f>IF('[1]Lists and Calcs (Hidden)'!AJ145="","",
                    IF(INDEX('[1]5. Assess Risks'!$H$6:$H$704,MATCH('[1]Lists and Calcs (Hidden)'!AJ145,'[1]Lists and Calcs (Hidden)'!$AB$34:$AB$732,0))="","",
                                    INDEX('[1]5. Assess Risks'!$H$6:$H$704,MATCH('[1]Lists and Calcs (Hidden)'!AJ145,'[1]Lists and Calcs (Hidden)'!$AB$34:$AB$732,0))
))</f>
        <v/>
      </c>
      <c r="R121" s="93" t="str">
        <f>IFERROR(IF('[1]2. Prepare'!$O$50="Quantitative",INDEX('[1]Lists and Calcs (Hidden)'!$M$12:$Q$16,MATCH('[1]6. Risk Register Integration'!P121,'[1]Lists and Calcs (Hidden)'!$K$12:$K$16,0),MATCH('[1]6. Risk Register Integration'!Q121,'[1]Lists and Calcs (Hidden)'!$M$10:$Q$10,0)),INDEX('[1]Lists and Calcs (Hidden)'!$Z$12:$AD$16,MATCH('[1]6. Risk Register Integration'!P121,'[1]Lists and Calcs (Hidden)'!$X$12:$X$16,0),MATCH('[1]6. Risk Register Integration'!Q121,'[1]Lists and Calcs (Hidden)'!$Z$10:$AD$10,0))),"")</f>
        <v/>
      </c>
      <c r="S121" s="94" t="str">
        <f>IF('[1]Lists and Calcs (Hidden)'!AJ145="","",
                    IF(INDEX('[1]5. Assess Risks'!$J$6:$J$704,MATCH('[1]Lists and Calcs (Hidden)'!AJ145,'[1]Lists and Calcs (Hidden)'!$AB$34:$AB$732,0))="","",
                                    INDEX('[1]5. Assess Risks'!$J$6:$J$704,MATCH('[1]Lists and Calcs (Hidden)'!AJ145,'[1]Lists and Calcs (Hidden)'!$AB$34:$AB$732,0))
))</f>
        <v/>
      </c>
      <c r="T121" s="102"/>
      <c r="U121" s="105"/>
      <c r="V121" s="106"/>
      <c r="W121" s="105"/>
      <c r="X121" s="105"/>
      <c r="Y121" s="89" t="str">
        <f>IF('[1]Lists and Calcs (Hidden)'!AJ145="","",
                    IF(INDEX('[1]5. Assess Risks'!$L$6:$L$704,MATCH('[1]Lists and Calcs (Hidden)'!AJ145,'[1]Lists and Calcs (Hidden)'!$AB$34:$AB$732,0))="","",
                                    INDEX('[1]5. Assess Risks'!$L$6:$L$704,MATCH('[1]Lists and Calcs (Hidden)'!AJ145,'[1]Lists and Calcs (Hidden)'!$AB$34:$AB$732,0))
))</f>
        <v/>
      </c>
      <c r="Z121" s="95"/>
      <c r="AA121" s="96"/>
      <c r="AB121" s="85"/>
      <c r="AC121" s="86"/>
      <c r="AD121" s="87" t="str">
        <f>IFERROR(IF('[1]2. Prepare'!$O$50="Quantitative",INDEX('[1]Lists and Calcs (Hidden)'!$M$12:$Q$16,MATCH('[1]6. Risk Register Integration'!AB121,'[1]Lists and Calcs (Hidden)'!$K$12:$K$16,0),MATCH('[1]6. Risk Register Integration'!AC121,'[1]Lists and Calcs (Hidden)'!$M$10:$Q$10,0)),INDEX('[1]Lists and Calcs (Hidden)'!$Z$12:$AD$16,MATCH('[1]6. Risk Register Integration'!AB121,'[1]Lists and Calcs (Hidden)'!$X$12:$X$16,0),MATCH('[1]6. Risk Register Integration'!AC121,'[1]Lists and Calcs (Hidden)'!$Z$10:$AD$10,0))),"")</f>
        <v/>
      </c>
      <c r="AE121" s="54"/>
      <c r="AF121" s="4"/>
      <c r="AG121" s="4"/>
    </row>
    <row r="122" spans="2:33" ht="330" customHeight="1" x14ac:dyDescent="0.2">
      <c r="B122" s="108"/>
      <c r="C122" s="98" t="str">
        <f>IF('[1]Lists and Calcs (Hidden)'!AJ146="","",
                    IF(INDEX('[1]5. Assess Risks'!$B$6:$B$704,MATCH('[1]Lists and Calcs (Hidden)'!AJ146,'[1]Lists and Calcs (Hidden)'!$AB$34:$AB$732,0))="","",
                                    INDEX('[1]5. Assess Risks'!$B$6:$B$704,MATCH('[1]Lists and Calcs (Hidden)'!AJ146,'[1]Lists and Calcs (Hidden)'!$AB$34:$AB$732,0))
))</f>
        <v/>
      </c>
      <c r="D122" s="90" t="str">
        <f>IF(C122="", "", '[1]2. Prepare'!$E$6)</f>
        <v/>
      </c>
      <c r="E122" s="91"/>
      <c r="F122" s="91"/>
      <c r="G122" s="91"/>
      <c r="H122" s="91"/>
      <c r="I122" s="98" t="str">
        <f>IF('[1]Lists and Calcs (Hidden)'!AJ146="","",
                    IF(INDEX('[1]5. Assess Risks'!$D$6:$D$704,MATCH('[1]Lists and Calcs (Hidden)'!AJ146,'[1]Lists and Calcs (Hidden)'!$AB$34:$AB$732,0))="","",
                                    INDEX('[1]5. Assess Risks'!$D$6:$D$704,MATCH('[1]Lists and Calcs (Hidden)'!AJ146,'[1]Lists and Calcs (Hidden)'!$AB$34:$AB$732,0))
))</f>
        <v/>
      </c>
      <c r="J122" s="91"/>
      <c r="K122" s="91"/>
      <c r="L122" s="91"/>
      <c r="M122" s="91"/>
      <c r="N122" s="91"/>
      <c r="O122" s="91"/>
      <c r="P122" s="99" t="str">
        <f>IF('[1]Lists and Calcs (Hidden)'!AJ146="","",
                    IF(INDEX('[1]5. Assess Risks'!$G$6:$G$704,MATCH('[1]Lists and Calcs (Hidden)'!AJ146,'[1]Lists and Calcs (Hidden)'!$AB$34:$AB$732,0))="","",
                                    INDEX('[1]5. Assess Risks'!$G$6:$G$704,MATCH('[1]Lists and Calcs (Hidden)'!AJ146,'[1]Lists and Calcs (Hidden)'!$AB$34:$AB$732,0))
))</f>
        <v/>
      </c>
      <c r="Q122" s="99" t="str">
        <f>IF('[1]Lists and Calcs (Hidden)'!AJ146="","",
                    IF(INDEX('[1]5. Assess Risks'!$H$6:$H$704,MATCH('[1]Lists and Calcs (Hidden)'!AJ146,'[1]Lists and Calcs (Hidden)'!$AB$34:$AB$732,0))="","",
                                    INDEX('[1]5. Assess Risks'!$H$6:$H$704,MATCH('[1]Lists and Calcs (Hidden)'!AJ146,'[1]Lists and Calcs (Hidden)'!$AB$34:$AB$732,0))
))</f>
        <v/>
      </c>
      <c r="R122" s="100" t="str">
        <f>IFERROR(IF('[1]2. Prepare'!$O$50="Quantitative",INDEX('[1]Lists and Calcs (Hidden)'!$M$12:$Q$16,MATCH('[1]6. Risk Register Integration'!P122,'[1]Lists and Calcs (Hidden)'!$K$12:$K$16,0),MATCH('[1]6. Risk Register Integration'!Q122,'[1]Lists and Calcs (Hidden)'!$M$10:$Q$10,0)),INDEX('[1]Lists and Calcs (Hidden)'!$Z$12:$AD$16,MATCH('[1]6. Risk Register Integration'!P122,'[1]Lists and Calcs (Hidden)'!$X$12:$X$16,0),MATCH('[1]6. Risk Register Integration'!Q122,'[1]Lists and Calcs (Hidden)'!$Z$10:$AD$10,0))),"")</f>
        <v/>
      </c>
      <c r="S122" s="101" t="str">
        <f>IF('[1]Lists and Calcs (Hidden)'!AJ146="","",
                    IF(INDEX('[1]5. Assess Risks'!$J$6:$J$704,MATCH('[1]Lists and Calcs (Hidden)'!AJ146,'[1]Lists and Calcs (Hidden)'!$AB$34:$AB$732,0))="","",
                                    INDEX('[1]5. Assess Risks'!$J$6:$J$704,MATCH('[1]Lists and Calcs (Hidden)'!AJ146,'[1]Lists and Calcs (Hidden)'!$AB$34:$AB$732,0))
))</f>
        <v/>
      </c>
      <c r="T122" s="102"/>
      <c r="U122" s="105"/>
      <c r="V122" s="106"/>
      <c r="W122" s="105"/>
      <c r="X122" s="105"/>
      <c r="Y122" s="98" t="str">
        <f>IF('[1]Lists and Calcs (Hidden)'!AJ146="","",
                    IF(INDEX('[1]5. Assess Risks'!$L$6:$L$704,MATCH('[1]Lists and Calcs (Hidden)'!AJ146,'[1]Lists and Calcs (Hidden)'!$AB$34:$AB$732,0))="","",
                                    INDEX('[1]5. Assess Risks'!$L$6:$L$704,MATCH('[1]Lists and Calcs (Hidden)'!AJ146,'[1]Lists and Calcs (Hidden)'!$AB$34:$AB$732,0))
))</f>
        <v/>
      </c>
      <c r="Z122" s="95"/>
      <c r="AA122" s="96"/>
      <c r="AB122" s="85"/>
      <c r="AC122" s="86"/>
      <c r="AD122" s="87" t="str">
        <f>IFERROR(IF('[1]2. Prepare'!$O$50="Quantitative",INDEX('[1]Lists and Calcs (Hidden)'!$M$12:$Q$16,MATCH('[1]6. Risk Register Integration'!AB122,'[1]Lists and Calcs (Hidden)'!$K$12:$K$16,0),MATCH('[1]6. Risk Register Integration'!AC122,'[1]Lists and Calcs (Hidden)'!$M$10:$Q$10,0)),INDEX('[1]Lists and Calcs (Hidden)'!$Z$12:$AD$16,MATCH('[1]6. Risk Register Integration'!AB122,'[1]Lists and Calcs (Hidden)'!$X$12:$X$16,0),MATCH('[1]6. Risk Register Integration'!AC122,'[1]Lists and Calcs (Hidden)'!$Z$10:$AD$10,0))),"")</f>
        <v/>
      </c>
      <c r="AE122" s="54"/>
      <c r="AF122" s="4"/>
      <c r="AG122" s="4"/>
    </row>
    <row r="123" spans="2:33" ht="330" customHeight="1" x14ac:dyDescent="0.2">
      <c r="B123" s="107"/>
      <c r="C123" s="89" t="str">
        <f>IF('[1]Lists and Calcs (Hidden)'!AJ147="","",
                    IF(INDEX('[1]5. Assess Risks'!$B$6:$B$704,MATCH('[1]Lists and Calcs (Hidden)'!AJ147,'[1]Lists and Calcs (Hidden)'!$AB$34:$AB$732,0))="","",
                                    INDEX('[1]5. Assess Risks'!$B$6:$B$704,MATCH('[1]Lists and Calcs (Hidden)'!AJ147,'[1]Lists and Calcs (Hidden)'!$AB$34:$AB$732,0))
))</f>
        <v/>
      </c>
      <c r="D123" s="90" t="str">
        <f>IF(C123="", "", '[1]2. Prepare'!$E$6)</f>
        <v/>
      </c>
      <c r="E123" s="91"/>
      <c r="F123" s="91"/>
      <c r="G123" s="91"/>
      <c r="H123" s="91"/>
      <c r="I123" s="89" t="str">
        <f>IF('[1]Lists and Calcs (Hidden)'!AJ147="","",
                    IF(INDEX('[1]5. Assess Risks'!$D$6:$D$704,MATCH('[1]Lists and Calcs (Hidden)'!AJ147,'[1]Lists and Calcs (Hidden)'!$AB$34:$AB$732,0))="","",
                                    INDEX('[1]5. Assess Risks'!$D$6:$D$704,MATCH('[1]Lists and Calcs (Hidden)'!AJ147,'[1]Lists and Calcs (Hidden)'!$AB$34:$AB$732,0))
))</f>
        <v/>
      </c>
      <c r="J123" s="91"/>
      <c r="K123" s="91"/>
      <c r="L123" s="91"/>
      <c r="M123" s="91"/>
      <c r="N123" s="91"/>
      <c r="O123" s="91"/>
      <c r="P123" s="92" t="str">
        <f>IF('[1]Lists and Calcs (Hidden)'!AJ147="","",
                    IF(INDEX('[1]5. Assess Risks'!$G$6:$G$704,MATCH('[1]Lists and Calcs (Hidden)'!AJ147,'[1]Lists and Calcs (Hidden)'!$AB$34:$AB$732,0))="","",
                                    INDEX('[1]5. Assess Risks'!$G$6:$G$704,MATCH('[1]Lists and Calcs (Hidden)'!AJ147,'[1]Lists and Calcs (Hidden)'!$AB$34:$AB$732,0))
))</f>
        <v/>
      </c>
      <c r="Q123" s="92" t="str">
        <f>IF('[1]Lists and Calcs (Hidden)'!AJ147="","",
                    IF(INDEX('[1]5. Assess Risks'!$H$6:$H$704,MATCH('[1]Lists and Calcs (Hidden)'!AJ147,'[1]Lists and Calcs (Hidden)'!$AB$34:$AB$732,0))="","",
                                    INDEX('[1]5. Assess Risks'!$H$6:$H$704,MATCH('[1]Lists and Calcs (Hidden)'!AJ147,'[1]Lists and Calcs (Hidden)'!$AB$34:$AB$732,0))
))</f>
        <v/>
      </c>
      <c r="R123" s="93" t="str">
        <f>IFERROR(IF('[1]2. Prepare'!$O$50="Quantitative",INDEX('[1]Lists and Calcs (Hidden)'!$M$12:$Q$16,MATCH('[1]6. Risk Register Integration'!P123,'[1]Lists and Calcs (Hidden)'!$K$12:$K$16,0),MATCH('[1]6. Risk Register Integration'!Q123,'[1]Lists and Calcs (Hidden)'!$M$10:$Q$10,0)),INDEX('[1]Lists and Calcs (Hidden)'!$Z$12:$AD$16,MATCH('[1]6. Risk Register Integration'!P123,'[1]Lists and Calcs (Hidden)'!$X$12:$X$16,0),MATCH('[1]6. Risk Register Integration'!Q123,'[1]Lists and Calcs (Hidden)'!$Z$10:$AD$10,0))),"")</f>
        <v/>
      </c>
      <c r="S123" s="94" t="str">
        <f>IF('[1]Lists and Calcs (Hidden)'!AJ147="","",
                    IF(INDEX('[1]5. Assess Risks'!$J$6:$J$704,MATCH('[1]Lists and Calcs (Hidden)'!AJ147,'[1]Lists and Calcs (Hidden)'!$AB$34:$AB$732,0))="","",
                                    INDEX('[1]5. Assess Risks'!$J$6:$J$704,MATCH('[1]Lists and Calcs (Hidden)'!AJ147,'[1]Lists and Calcs (Hidden)'!$AB$34:$AB$732,0))
))</f>
        <v/>
      </c>
      <c r="T123" s="102"/>
      <c r="U123" s="105"/>
      <c r="V123" s="106"/>
      <c r="W123" s="105"/>
      <c r="X123" s="105"/>
      <c r="Y123" s="89" t="str">
        <f>IF('[1]Lists and Calcs (Hidden)'!AJ147="","",
                    IF(INDEX('[1]5. Assess Risks'!$L$6:$L$704,MATCH('[1]Lists and Calcs (Hidden)'!AJ147,'[1]Lists and Calcs (Hidden)'!$AB$34:$AB$732,0))="","",
                                    INDEX('[1]5. Assess Risks'!$L$6:$L$704,MATCH('[1]Lists and Calcs (Hidden)'!AJ147,'[1]Lists and Calcs (Hidden)'!$AB$34:$AB$732,0))
))</f>
        <v/>
      </c>
      <c r="Z123" s="95"/>
      <c r="AA123" s="96"/>
      <c r="AB123" s="85"/>
      <c r="AC123" s="86"/>
      <c r="AD123" s="87" t="str">
        <f>IFERROR(IF('[1]2. Prepare'!$O$50="Quantitative",INDEX('[1]Lists and Calcs (Hidden)'!$M$12:$Q$16,MATCH('[1]6. Risk Register Integration'!AB123,'[1]Lists and Calcs (Hidden)'!$K$12:$K$16,0),MATCH('[1]6. Risk Register Integration'!AC123,'[1]Lists and Calcs (Hidden)'!$M$10:$Q$10,0)),INDEX('[1]Lists and Calcs (Hidden)'!$Z$12:$AD$16,MATCH('[1]6. Risk Register Integration'!AB123,'[1]Lists and Calcs (Hidden)'!$X$12:$X$16,0),MATCH('[1]6. Risk Register Integration'!AC123,'[1]Lists and Calcs (Hidden)'!$Z$10:$AD$10,0))),"")</f>
        <v/>
      </c>
      <c r="AE123" s="54"/>
      <c r="AF123" s="4"/>
      <c r="AG123" s="4"/>
    </row>
    <row r="124" spans="2:33" ht="330" customHeight="1" x14ac:dyDescent="0.2">
      <c r="B124" s="107"/>
      <c r="C124" s="98" t="str">
        <f>IF('[1]Lists and Calcs (Hidden)'!AJ148="","",
                    IF(INDEX('[1]5. Assess Risks'!$B$6:$B$704,MATCH('[1]Lists and Calcs (Hidden)'!AJ148,'[1]Lists and Calcs (Hidden)'!$AB$34:$AB$732,0))="","",
                                    INDEX('[1]5. Assess Risks'!$B$6:$B$704,MATCH('[1]Lists and Calcs (Hidden)'!AJ148,'[1]Lists and Calcs (Hidden)'!$AB$34:$AB$732,0))
))</f>
        <v/>
      </c>
      <c r="D124" s="90" t="str">
        <f>IF(C124="", "", '[1]2. Prepare'!$E$6)</f>
        <v/>
      </c>
      <c r="E124" s="91"/>
      <c r="F124" s="91"/>
      <c r="G124" s="91"/>
      <c r="H124" s="91"/>
      <c r="I124" s="98" t="str">
        <f>IF('[1]Lists and Calcs (Hidden)'!AJ148="","",
                    IF(INDEX('[1]5. Assess Risks'!$D$6:$D$704,MATCH('[1]Lists and Calcs (Hidden)'!AJ148,'[1]Lists and Calcs (Hidden)'!$AB$34:$AB$732,0))="","",
                                    INDEX('[1]5. Assess Risks'!$D$6:$D$704,MATCH('[1]Lists and Calcs (Hidden)'!AJ148,'[1]Lists and Calcs (Hidden)'!$AB$34:$AB$732,0))
))</f>
        <v/>
      </c>
      <c r="J124" s="91"/>
      <c r="K124" s="91"/>
      <c r="L124" s="91"/>
      <c r="M124" s="91"/>
      <c r="N124" s="91"/>
      <c r="O124" s="91"/>
      <c r="P124" s="99" t="str">
        <f>IF('[1]Lists and Calcs (Hidden)'!AJ148="","",
                    IF(INDEX('[1]5. Assess Risks'!$G$6:$G$704,MATCH('[1]Lists and Calcs (Hidden)'!AJ148,'[1]Lists and Calcs (Hidden)'!$AB$34:$AB$732,0))="","",
                                    INDEX('[1]5. Assess Risks'!$G$6:$G$704,MATCH('[1]Lists and Calcs (Hidden)'!AJ148,'[1]Lists and Calcs (Hidden)'!$AB$34:$AB$732,0))
))</f>
        <v/>
      </c>
      <c r="Q124" s="99" t="str">
        <f>IF('[1]Lists and Calcs (Hidden)'!AJ148="","",
                    IF(INDEX('[1]5. Assess Risks'!$H$6:$H$704,MATCH('[1]Lists and Calcs (Hidden)'!AJ148,'[1]Lists and Calcs (Hidden)'!$AB$34:$AB$732,0))="","",
                                    INDEX('[1]5. Assess Risks'!$H$6:$H$704,MATCH('[1]Lists and Calcs (Hidden)'!AJ148,'[1]Lists and Calcs (Hidden)'!$AB$34:$AB$732,0))
))</f>
        <v/>
      </c>
      <c r="R124" s="100" t="str">
        <f>IFERROR(IF('[1]2. Prepare'!$O$50="Quantitative",INDEX('[1]Lists and Calcs (Hidden)'!$M$12:$Q$16,MATCH('[1]6. Risk Register Integration'!P124,'[1]Lists and Calcs (Hidden)'!$K$12:$K$16,0),MATCH('[1]6. Risk Register Integration'!Q124,'[1]Lists and Calcs (Hidden)'!$M$10:$Q$10,0)),INDEX('[1]Lists and Calcs (Hidden)'!$Z$12:$AD$16,MATCH('[1]6. Risk Register Integration'!P124,'[1]Lists and Calcs (Hidden)'!$X$12:$X$16,0),MATCH('[1]6. Risk Register Integration'!Q124,'[1]Lists and Calcs (Hidden)'!$Z$10:$AD$10,0))),"")</f>
        <v/>
      </c>
      <c r="S124" s="101" t="str">
        <f>IF('[1]Lists and Calcs (Hidden)'!AJ148="","",
                    IF(INDEX('[1]5. Assess Risks'!$J$6:$J$704,MATCH('[1]Lists and Calcs (Hidden)'!AJ148,'[1]Lists and Calcs (Hidden)'!$AB$34:$AB$732,0))="","",
                                    INDEX('[1]5. Assess Risks'!$J$6:$J$704,MATCH('[1]Lists and Calcs (Hidden)'!AJ148,'[1]Lists and Calcs (Hidden)'!$AB$34:$AB$732,0))
))</f>
        <v/>
      </c>
      <c r="T124" s="102"/>
      <c r="U124" s="105"/>
      <c r="V124" s="106"/>
      <c r="W124" s="105"/>
      <c r="X124" s="105"/>
      <c r="Y124" s="98" t="str">
        <f>IF('[1]Lists and Calcs (Hidden)'!AJ148="","",
                    IF(INDEX('[1]5. Assess Risks'!$L$6:$L$704,MATCH('[1]Lists and Calcs (Hidden)'!AJ148,'[1]Lists and Calcs (Hidden)'!$AB$34:$AB$732,0))="","",
                                    INDEX('[1]5. Assess Risks'!$L$6:$L$704,MATCH('[1]Lists and Calcs (Hidden)'!AJ148,'[1]Lists and Calcs (Hidden)'!$AB$34:$AB$732,0))
))</f>
        <v/>
      </c>
      <c r="Z124" s="95"/>
      <c r="AA124" s="96"/>
      <c r="AB124" s="85"/>
      <c r="AC124" s="86"/>
      <c r="AD124" s="87" t="str">
        <f>IFERROR(IF('[1]2. Prepare'!$O$50="Quantitative",INDEX('[1]Lists and Calcs (Hidden)'!$M$12:$Q$16,MATCH('[1]6. Risk Register Integration'!AB124,'[1]Lists and Calcs (Hidden)'!$K$12:$K$16,0),MATCH('[1]6. Risk Register Integration'!AC124,'[1]Lists and Calcs (Hidden)'!$M$10:$Q$10,0)),INDEX('[1]Lists and Calcs (Hidden)'!$Z$12:$AD$16,MATCH('[1]6. Risk Register Integration'!AB124,'[1]Lists and Calcs (Hidden)'!$X$12:$X$16,0),MATCH('[1]6. Risk Register Integration'!AC124,'[1]Lists and Calcs (Hidden)'!$Z$10:$AD$10,0))),"")</f>
        <v/>
      </c>
      <c r="AE124" s="54"/>
      <c r="AF124" s="4"/>
      <c r="AG124" s="4"/>
    </row>
    <row r="125" spans="2:33" ht="330" customHeight="1" x14ac:dyDescent="0.2">
      <c r="B125" s="108"/>
      <c r="C125" s="89" t="str">
        <f>IF('[1]Lists and Calcs (Hidden)'!AJ149="","",
                    IF(INDEX('[1]5. Assess Risks'!$B$6:$B$704,MATCH('[1]Lists and Calcs (Hidden)'!AJ149,'[1]Lists and Calcs (Hidden)'!$AB$34:$AB$732,0))="","",
                                    INDEX('[1]5. Assess Risks'!$B$6:$B$704,MATCH('[1]Lists and Calcs (Hidden)'!AJ149,'[1]Lists and Calcs (Hidden)'!$AB$34:$AB$732,0))
))</f>
        <v/>
      </c>
      <c r="D125" s="90" t="str">
        <f>IF(C125="", "", '[1]2. Prepare'!$E$6)</f>
        <v/>
      </c>
      <c r="E125" s="91"/>
      <c r="F125" s="91"/>
      <c r="G125" s="91"/>
      <c r="H125" s="91"/>
      <c r="I125" s="89" t="str">
        <f>IF('[1]Lists and Calcs (Hidden)'!AJ149="","",
                    IF(INDEX('[1]5. Assess Risks'!$D$6:$D$704,MATCH('[1]Lists and Calcs (Hidden)'!AJ149,'[1]Lists and Calcs (Hidden)'!$AB$34:$AB$732,0))="","",
                                    INDEX('[1]5. Assess Risks'!$D$6:$D$704,MATCH('[1]Lists and Calcs (Hidden)'!AJ149,'[1]Lists and Calcs (Hidden)'!$AB$34:$AB$732,0))
))</f>
        <v/>
      </c>
      <c r="J125" s="91"/>
      <c r="K125" s="91"/>
      <c r="L125" s="91"/>
      <c r="M125" s="91"/>
      <c r="N125" s="91"/>
      <c r="O125" s="91"/>
      <c r="P125" s="92" t="str">
        <f>IF('[1]Lists and Calcs (Hidden)'!AJ149="","",
                    IF(INDEX('[1]5. Assess Risks'!$G$6:$G$704,MATCH('[1]Lists and Calcs (Hidden)'!AJ149,'[1]Lists and Calcs (Hidden)'!$AB$34:$AB$732,0))="","",
                                    INDEX('[1]5. Assess Risks'!$G$6:$G$704,MATCH('[1]Lists and Calcs (Hidden)'!AJ149,'[1]Lists and Calcs (Hidden)'!$AB$34:$AB$732,0))
))</f>
        <v/>
      </c>
      <c r="Q125" s="92" t="str">
        <f>IF('[1]Lists and Calcs (Hidden)'!AJ149="","",
                    IF(INDEX('[1]5. Assess Risks'!$H$6:$H$704,MATCH('[1]Lists and Calcs (Hidden)'!AJ149,'[1]Lists and Calcs (Hidden)'!$AB$34:$AB$732,0))="","",
                                    INDEX('[1]5. Assess Risks'!$H$6:$H$704,MATCH('[1]Lists and Calcs (Hidden)'!AJ149,'[1]Lists and Calcs (Hidden)'!$AB$34:$AB$732,0))
))</f>
        <v/>
      </c>
      <c r="R125" s="93" t="str">
        <f>IFERROR(IF('[1]2. Prepare'!$O$50="Quantitative",INDEX('[1]Lists and Calcs (Hidden)'!$M$12:$Q$16,MATCH('[1]6. Risk Register Integration'!P125,'[1]Lists and Calcs (Hidden)'!$K$12:$K$16,0),MATCH('[1]6. Risk Register Integration'!Q125,'[1]Lists and Calcs (Hidden)'!$M$10:$Q$10,0)),INDEX('[1]Lists and Calcs (Hidden)'!$Z$12:$AD$16,MATCH('[1]6. Risk Register Integration'!P125,'[1]Lists and Calcs (Hidden)'!$X$12:$X$16,0),MATCH('[1]6. Risk Register Integration'!Q125,'[1]Lists and Calcs (Hidden)'!$Z$10:$AD$10,0))),"")</f>
        <v/>
      </c>
      <c r="S125" s="94" t="str">
        <f>IF('[1]Lists and Calcs (Hidden)'!AJ149="","",
                    IF(INDEX('[1]5. Assess Risks'!$J$6:$J$704,MATCH('[1]Lists and Calcs (Hidden)'!AJ149,'[1]Lists and Calcs (Hidden)'!$AB$34:$AB$732,0))="","",
                                    INDEX('[1]5. Assess Risks'!$J$6:$J$704,MATCH('[1]Lists and Calcs (Hidden)'!AJ149,'[1]Lists and Calcs (Hidden)'!$AB$34:$AB$732,0))
))</f>
        <v/>
      </c>
      <c r="T125" s="102"/>
      <c r="U125" s="105"/>
      <c r="V125" s="106"/>
      <c r="W125" s="105"/>
      <c r="X125" s="105"/>
      <c r="Y125" s="89" t="str">
        <f>IF('[1]Lists and Calcs (Hidden)'!AJ149="","",
                    IF(INDEX('[1]5. Assess Risks'!$L$6:$L$704,MATCH('[1]Lists and Calcs (Hidden)'!AJ149,'[1]Lists and Calcs (Hidden)'!$AB$34:$AB$732,0))="","",
                                    INDEX('[1]5. Assess Risks'!$L$6:$L$704,MATCH('[1]Lists and Calcs (Hidden)'!AJ149,'[1]Lists and Calcs (Hidden)'!$AB$34:$AB$732,0))
))</f>
        <v/>
      </c>
      <c r="Z125" s="95"/>
      <c r="AA125" s="96"/>
      <c r="AB125" s="85"/>
      <c r="AC125" s="86"/>
      <c r="AD125" s="87" t="str">
        <f>IFERROR(IF('[1]2. Prepare'!$O$50="Quantitative",INDEX('[1]Lists and Calcs (Hidden)'!$M$12:$Q$16,MATCH('[1]6. Risk Register Integration'!AB125,'[1]Lists and Calcs (Hidden)'!$K$12:$K$16,0),MATCH('[1]6. Risk Register Integration'!AC125,'[1]Lists and Calcs (Hidden)'!$M$10:$Q$10,0)),INDEX('[1]Lists and Calcs (Hidden)'!$Z$12:$AD$16,MATCH('[1]6. Risk Register Integration'!AB125,'[1]Lists and Calcs (Hidden)'!$X$12:$X$16,0),MATCH('[1]6. Risk Register Integration'!AC125,'[1]Lists and Calcs (Hidden)'!$Z$10:$AD$10,0))),"")</f>
        <v/>
      </c>
      <c r="AE125" s="54"/>
      <c r="AF125" s="4"/>
      <c r="AG125" s="4"/>
    </row>
    <row r="126" spans="2:33" ht="330" customHeight="1" x14ac:dyDescent="0.2">
      <c r="B126" s="107"/>
      <c r="C126" s="98" t="str">
        <f>IF('[1]Lists and Calcs (Hidden)'!AJ150="","",
                    IF(INDEX('[1]5. Assess Risks'!$B$6:$B$704,MATCH('[1]Lists and Calcs (Hidden)'!AJ150,'[1]Lists and Calcs (Hidden)'!$AB$34:$AB$732,0))="","",
                                    INDEX('[1]5. Assess Risks'!$B$6:$B$704,MATCH('[1]Lists and Calcs (Hidden)'!AJ150,'[1]Lists and Calcs (Hidden)'!$AB$34:$AB$732,0))
))</f>
        <v/>
      </c>
      <c r="D126" s="90" t="str">
        <f>IF(C126="", "", '[1]2. Prepare'!$E$6)</f>
        <v/>
      </c>
      <c r="E126" s="91"/>
      <c r="F126" s="91"/>
      <c r="G126" s="91"/>
      <c r="H126" s="91"/>
      <c r="I126" s="98" t="str">
        <f>IF('[1]Lists and Calcs (Hidden)'!AJ150="","",
                    IF(INDEX('[1]5. Assess Risks'!$D$6:$D$704,MATCH('[1]Lists and Calcs (Hidden)'!AJ150,'[1]Lists and Calcs (Hidden)'!$AB$34:$AB$732,0))="","",
                                    INDEX('[1]5. Assess Risks'!$D$6:$D$704,MATCH('[1]Lists and Calcs (Hidden)'!AJ150,'[1]Lists and Calcs (Hidden)'!$AB$34:$AB$732,0))
))</f>
        <v/>
      </c>
      <c r="J126" s="91"/>
      <c r="K126" s="91"/>
      <c r="L126" s="91"/>
      <c r="M126" s="91"/>
      <c r="N126" s="91"/>
      <c r="O126" s="91"/>
      <c r="P126" s="99" t="str">
        <f>IF('[1]Lists and Calcs (Hidden)'!AJ150="","",
                    IF(INDEX('[1]5. Assess Risks'!$G$6:$G$704,MATCH('[1]Lists and Calcs (Hidden)'!AJ150,'[1]Lists and Calcs (Hidden)'!$AB$34:$AB$732,0))="","",
                                    INDEX('[1]5. Assess Risks'!$G$6:$G$704,MATCH('[1]Lists and Calcs (Hidden)'!AJ150,'[1]Lists and Calcs (Hidden)'!$AB$34:$AB$732,0))
))</f>
        <v/>
      </c>
      <c r="Q126" s="99" t="str">
        <f>IF('[1]Lists and Calcs (Hidden)'!AJ150="","",
                    IF(INDEX('[1]5. Assess Risks'!$H$6:$H$704,MATCH('[1]Lists and Calcs (Hidden)'!AJ150,'[1]Lists and Calcs (Hidden)'!$AB$34:$AB$732,0))="","",
                                    INDEX('[1]5. Assess Risks'!$H$6:$H$704,MATCH('[1]Lists and Calcs (Hidden)'!AJ150,'[1]Lists and Calcs (Hidden)'!$AB$34:$AB$732,0))
))</f>
        <v/>
      </c>
      <c r="R126" s="100" t="str">
        <f>IFERROR(IF('[1]2. Prepare'!$O$50="Quantitative",INDEX('[1]Lists and Calcs (Hidden)'!$M$12:$Q$16,MATCH('[1]6. Risk Register Integration'!P126,'[1]Lists and Calcs (Hidden)'!$K$12:$K$16,0),MATCH('[1]6. Risk Register Integration'!Q126,'[1]Lists and Calcs (Hidden)'!$M$10:$Q$10,0)),INDEX('[1]Lists and Calcs (Hidden)'!$Z$12:$AD$16,MATCH('[1]6. Risk Register Integration'!P126,'[1]Lists and Calcs (Hidden)'!$X$12:$X$16,0),MATCH('[1]6. Risk Register Integration'!Q126,'[1]Lists and Calcs (Hidden)'!$Z$10:$AD$10,0))),"")</f>
        <v/>
      </c>
      <c r="S126" s="101" t="str">
        <f>IF('[1]Lists and Calcs (Hidden)'!AJ150="","",
                    IF(INDEX('[1]5. Assess Risks'!$J$6:$J$704,MATCH('[1]Lists and Calcs (Hidden)'!AJ150,'[1]Lists and Calcs (Hidden)'!$AB$34:$AB$732,0))="","",
                                    INDEX('[1]5. Assess Risks'!$J$6:$J$704,MATCH('[1]Lists and Calcs (Hidden)'!AJ150,'[1]Lists and Calcs (Hidden)'!$AB$34:$AB$732,0))
))</f>
        <v/>
      </c>
      <c r="T126" s="102"/>
      <c r="U126" s="105"/>
      <c r="V126" s="106"/>
      <c r="W126" s="105"/>
      <c r="X126" s="105"/>
      <c r="Y126" s="98" t="str">
        <f>IF('[1]Lists and Calcs (Hidden)'!AJ150="","",
                    IF(INDEX('[1]5. Assess Risks'!$L$6:$L$704,MATCH('[1]Lists and Calcs (Hidden)'!AJ150,'[1]Lists and Calcs (Hidden)'!$AB$34:$AB$732,0))="","",
                                    INDEX('[1]5. Assess Risks'!$L$6:$L$704,MATCH('[1]Lists and Calcs (Hidden)'!AJ150,'[1]Lists and Calcs (Hidden)'!$AB$34:$AB$732,0))
))</f>
        <v/>
      </c>
      <c r="Z126" s="95"/>
      <c r="AA126" s="96"/>
      <c r="AB126" s="85"/>
      <c r="AC126" s="86"/>
      <c r="AD126" s="87" t="str">
        <f>IFERROR(IF('[1]2. Prepare'!$O$50="Quantitative",INDEX('[1]Lists and Calcs (Hidden)'!$M$12:$Q$16,MATCH('[1]6. Risk Register Integration'!AB126,'[1]Lists and Calcs (Hidden)'!$K$12:$K$16,0),MATCH('[1]6. Risk Register Integration'!AC126,'[1]Lists and Calcs (Hidden)'!$M$10:$Q$10,0)),INDEX('[1]Lists and Calcs (Hidden)'!$Z$12:$AD$16,MATCH('[1]6. Risk Register Integration'!AB126,'[1]Lists and Calcs (Hidden)'!$X$12:$X$16,0),MATCH('[1]6. Risk Register Integration'!AC126,'[1]Lists and Calcs (Hidden)'!$Z$10:$AD$10,0))),"")</f>
        <v/>
      </c>
      <c r="AE126" s="54"/>
      <c r="AF126" s="4"/>
      <c r="AG126" s="4"/>
    </row>
    <row r="127" spans="2:33" ht="330" customHeight="1" x14ac:dyDescent="0.2">
      <c r="B127" s="107"/>
      <c r="C127" s="89" t="str">
        <f>IF('[1]Lists and Calcs (Hidden)'!AJ151="","",
                    IF(INDEX('[1]5. Assess Risks'!$B$6:$B$704,MATCH('[1]Lists and Calcs (Hidden)'!AJ151,'[1]Lists and Calcs (Hidden)'!$AB$34:$AB$732,0))="","",
                                    INDEX('[1]5. Assess Risks'!$B$6:$B$704,MATCH('[1]Lists and Calcs (Hidden)'!AJ151,'[1]Lists and Calcs (Hidden)'!$AB$34:$AB$732,0))
))</f>
        <v/>
      </c>
      <c r="D127" s="90" t="str">
        <f>IF(C127="", "", '[1]2. Prepare'!$E$6)</f>
        <v/>
      </c>
      <c r="E127" s="91"/>
      <c r="F127" s="91"/>
      <c r="G127" s="91"/>
      <c r="H127" s="91"/>
      <c r="I127" s="89" t="str">
        <f>IF('[1]Lists and Calcs (Hidden)'!AJ151="","",
                    IF(INDEX('[1]5. Assess Risks'!$D$6:$D$704,MATCH('[1]Lists and Calcs (Hidden)'!AJ151,'[1]Lists and Calcs (Hidden)'!$AB$34:$AB$732,0))="","",
                                    INDEX('[1]5. Assess Risks'!$D$6:$D$704,MATCH('[1]Lists and Calcs (Hidden)'!AJ151,'[1]Lists and Calcs (Hidden)'!$AB$34:$AB$732,0))
))</f>
        <v/>
      </c>
      <c r="J127" s="91"/>
      <c r="K127" s="91"/>
      <c r="L127" s="91"/>
      <c r="M127" s="91"/>
      <c r="N127" s="91"/>
      <c r="O127" s="91"/>
      <c r="P127" s="92" t="str">
        <f>IF('[1]Lists and Calcs (Hidden)'!AJ151="","",
                    IF(INDEX('[1]5. Assess Risks'!$G$6:$G$704,MATCH('[1]Lists and Calcs (Hidden)'!AJ151,'[1]Lists and Calcs (Hidden)'!$AB$34:$AB$732,0))="","",
                                    INDEX('[1]5. Assess Risks'!$G$6:$G$704,MATCH('[1]Lists and Calcs (Hidden)'!AJ151,'[1]Lists and Calcs (Hidden)'!$AB$34:$AB$732,0))
))</f>
        <v/>
      </c>
      <c r="Q127" s="92" t="str">
        <f>IF('[1]Lists and Calcs (Hidden)'!AJ151="","",
                    IF(INDEX('[1]5. Assess Risks'!$H$6:$H$704,MATCH('[1]Lists and Calcs (Hidden)'!AJ151,'[1]Lists and Calcs (Hidden)'!$AB$34:$AB$732,0))="","",
                                    INDEX('[1]5. Assess Risks'!$H$6:$H$704,MATCH('[1]Lists and Calcs (Hidden)'!AJ151,'[1]Lists and Calcs (Hidden)'!$AB$34:$AB$732,0))
))</f>
        <v/>
      </c>
      <c r="R127" s="93" t="str">
        <f>IFERROR(IF('[1]2. Prepare'!$O$50="Quantitative",INDEX('[1]Lists and Calcs (Hidden)'!$M$12:$Q$16,MATCH('[1]6. Risk Register Integration'!P127,'[1]Lists and Calcs (Hidden)'!$K$12:$K$16,0),MATCH('[1]6. Risk Register Integration'!Q127,'[1]Lists and Calcs (Hidden)'!$M$10:$Q$10,0)),INDEX('[1]Lists and Calcs (Hidden)'!$Z$12:$AD$16,MATCH('[1]6. Risk Register Integration'!P127,'[1]Lists and Calcs (Hidden)'!$X$12:$X$16,0),MATCH('[1]6. Risk Register Integration'!Q127,'[1]Lists and Calcs (Hidden)'!$Z$10:$AD$10,0))),"")</f>
        <v/>
      </c>
      <c r="S127" s="94" t="str">
        <f>IF('[1]Lists and Calcs (Hidden)'!AJ151="","",
                    IF(INDEX('[1]5. Assess Risks'!$J$6:$J$704,MATCH('[1]Lists and Calcs (Hidden)'!AJ151,'[1]Lists and Calcs (Hidden)'!$AB$34:$AB$732,0))="","",
                                    INDEX('[1]5. Assess Risks'!$J$6:$J$704,MATCH('[1]Lists and Calcs (Hidden)'!AJ151,'[1]Lists and Calcs (Hidden)'!$AB$34:$AB$732,0))
))</f>
        <v/>
      </c>
      <c r="T127" s="102"/>
      <c r="U127" s="105"/>
      <c r="V127" s="106"/>
      <c r="W127" s="105"/>
      <c r="X127" s="105"/>
      <c r="Y127" s="89" t="str">
        <f>IF('[1]Lists and Calcs (Hidden)'!AJ151="","",
                    IF(INDEX('[1]5. Assess Risks'!$L$6:$L$704,MATCH('[1]Lists and Calcs (Hidden)'!AJ151,'[1]Lists and Calcs (Hidden)'!$AB$34:$AB$732,0))="","",
                                    INDEX('[1]5. Assess Risks'!$L$6:$L$704,MATCH('[1]Lists and Calcs (Hidden)'!AJ151,'[1]Lists and Calcs (Hidden)'!$AB$34:$AB$732,0))
))</f>
        <v/>
      </c>
      <c r="Z127" s="95"/>
      <c r="AA127" s="96"/>
      <c r="AB127" s="85"/>
      <c r="AC127" s="86"/>
      <c r="AD127" s="87" t="str">
        <f>IFERROR(IF('[1]2. Prepare'!$O$50="Quantitative",INDEX('[1]Lists and Calcs (Hidden)'!$M$12:$Q$16,MATCH('[1]6. Risk Register Integration'!AB127,'[1]Lists and Calcs (Hidden)'!$K$12:$K$16,0),MATCH('[1]6. Risk Register Integration'!AC127,'[1]Lists and Calcs (Hidden)'!$M$10:$Q$10,0)),INDEX('[1]Lists and Calcs (Hidden)'!$Z$12:$AD$16,MATCH('[1]6. Risk Register Integration'!AB127,'[1]Lists and Calcs (Hidden)'!$X$12:$X$16,0),MATCH('[1]6. Risk Register Integration'!AC127,'[1]Lists and Calcs (Hidden)'!$Z$10:$AD$10,0))),"")</f>
        <v/>
      </c>
      <c r="AE127" s="54"/>
      <c r="AF127" s="4"/>
      <c r="AG127" s="4"/>
    </row>
    <row r="128" spans="2:33" ht="330" customHeight="1" x14ac:dyDescent="0.2">
      <c r="B128" s="107"/>
      <c r="C128" s="98" t="str">
        <f>IF('[1]Lists and Calcs (Hidden)'!AJ152="","",
                    IF(INDEX('[1]5. Assess Risks'!$B$6:$B$704,MATCH('[1]Lists and Calcs (Hidden)'!AJ152,'[1]Lists and Calcs (Hidden)'!$AB$34:$AB$732,0))="","",
                                    INDEX('[1]5. Assess Risks'!$B$6:$B$704,MATCH('[1]Lists and Calcs (Hidden)'!AJ152,'[1]Lists and Calcs (Hidden)'!$AB$34:$AB$732,0))
))</f>
        <v/>
      </c>
      <c r="D128" s="90" t="str">
        <f>IF(C128="", "", '[1]2. Prepare'!$E$6)</f>
        <v/>
      </c>
      <c r="E128" s="91"/>
      <c r="F128" s="91"/>
      <c r="G128" s="91"/>
      <c r="H128" s="91"/>
      <c r="I128" s="98" t="str">
        <f>IF('[1]Lists and Calcs (Hidden)'!AJ152="","",
                    IF(INDEX('[1]5. Assess Risks'!$D$6:$D$704,MATCH('[1]Lists and Calcs (Hidden)'!AJ152,'[1]Lists and Calcs (Hidden)'!$AB$34:$AB$732,0))="","",
                                    INDEX('[1]5. Assess Risks'!$D$6:$D$704,MATCH('[1]Lists and Calcs (Hidden)'!AJ152,'[1]Lists and Calcs (Hidden)'!$AB$34:$AB$732,0))
))</f>
        <v/>
      </c>
      <c r="J128" s="91"/>
      <c r="K128" s="91"/>
      <c r="L128" s="91"/>
      <c r="M128" s="91"/>
      <c r="N128" s="91"/>
      <c r="O128" s="91"/>
      <c r="P128" s="99" t="str">
        <f>IF('[1]Lists and Calcs (Hidden)'!AJ152="","",
                    IF(INDEX('[1]5. Assess Risks'!$G$6:$G$704,MATCH('[1]Lists and Calcs (Hidden)'!AJ152,'[1]Lists and Calcs (Hidden)'!$AB$34:$AB$732,0))="","",
                                    INDEX('[1]5. Assess Risks'!$G$6:$G$704,MATCH('[1]Lists and Calcs (Hidden)'!AJ152,'[1]Lists and Calcs (Hidden)'!$AB$34:$AB$732,0))
))</f>
        <v/>
      </c>
      <c r="Q128" s="99" t="str">
        <f>IF('[1]Lists and Calcs (Hidden)'!AJ152="","",
                    IF(INDEX('[1]5. Assess Risks'!$H$6:$H$704,MATCH('[1]Lists and Calcs (Hidden)'!AJ152,'[1]Lists and Calcs (Hidden)'!$AB$34:$AB$732,0))="","",
                                    INDEX('[1]5. Assess Risks'!$H$6:$H$704,MATCH('[1]Lists and Calcs (Hidden)'!AJ152,'[1]Lists and Calcs (Hidden)'!$AB$34:$AB$732,0))
))</f>
        <v/>
      </c>
      <c r="R128" s="100" t="str">
        <f>IFERROR(IF('[1]2. Prepare'!$O$50="Quantitative",INDEX('[1]Lists and Calcs (Hidden)'!$M$12:$Q$16,MATCH('[1]6. Risk Register Integration'!P128,'[1]Lists and Calcs (Hidden)'!$K$12:$K$16,0),MATCH('[1]6. Risk Register Integration'!Q128,'[1]Lists and Calcs (Hidden)'!$M$10:$Q$10,0)),INDEX('[1]Lists and Calcs (Hidden)'!$Z$12:$AD$16,MATCH('[1]6. Risk Register Integration'!P128,'[1]Lists and Calcs (Hidden)'!$X$12:$X$16,0),MATCH('[1]6. Risk Register Integration'!Q128,'[1]Lists and Calcs (Hidden)'!$Z$10:$AD$10,0))),"")</f>
        <v/>
      </c>
      <c r="S128" s="101" t="str">
        <f>IF('[1]Lists and Calcs (Hidden)'!AJ152="","",
                    IF(INDEX('[1]5. Assess Risks'!$J$6:$J$704,MATCH('[1]Lists and Calcs (Hidden)'!AJ152,'[1]Lists and Calcs (Hidden)'!$AB$34:$AB$732,0))="","",
                                    INDEX('[1]5. Assess Risks'!$J$6:$J$704,MATCH('[1]Lists and Calcs (Hidden)'!AJ152,'[1]Lists and Calcs (Hidden)'!$AB$34:$AB$732,0))
))</f>
        <v/>
      </c>
      <c r="T128" s="102"/>
      <c r="U128" s="105"/>
      <c r="V128" s="106"/>
      <c r="W128" s="105"/>
      <c r="X128" s="105"/>
      <c r="Y128" s="98" t="str">
        <f>IF('[1]Lists and Calcs (Hidden)'!AJ152="","",
                    IF(INDEX('[1]5. Assess Risks'!$L$6:$L$704,MATCH('[1]Lists and Calcs (Hidden)'!AJ152,'[1]Lists and Calcs (Hidden)'!$AB$34:$AB$732,0))="","",
                                    INDEX('[1]5. Assess Risks'!$L$6:$L$704,MATCH('[1]Lists and Calcs (Hidden)'!AJ152,'[1]Lists and Calcs (Hidden)'!$AB$34:$AB$732,0))
))</f>
        <v/>
      </c>
      <c r="Z128" s="95"/>
      <c r="AA128" s="96"/>
      <c r="AB128" s="85"/>
      <c r="AC128" s="86"/>
      <c r="AD128" s="87" t="str">
        <f>IFERROR(IF('[1]2. Prepare'!$O$50="Quantitative",INDEX('[1]Lists and Calcs (Hidden)'!$M$12:$Q$16,MATCH('[1]6. Risk Register Integration'!AB128,'[1]Lists and Calcs (Hidden)'!$K$12:$K$16,0),MATCH('[1]6. Risk Register Integration'!AC128,'[1]Lists and Calcs (Hidden)'!$M$10:$Q$10,0)),INDEX('[1]Lists and Calcs (Hidden)'!$Z$12:$AD$16,MATCH('[1]6. Risk Register Integration'!AB128,'[1]Lists and Calcs (Hidden)'!$X$12:$X$16,0),MATCH('[1]6. Risk Register Integration'!AC128,'[1]Lists and Calcs (Hidden)'!$Z$10:$AD$10,0))),"")</f>
        <v/>
      </c>
      <c r="AE128" s="54"/>
      <c r="AF128" s="4"/>
      <c r="AG128" s="4"/>
    </row>
    <row r="129" spans="2:33" ht="330" customHeight="1" x14ac:dyDescent="0.2">
      <c r="B129" s="107"/>
      <c r="C129" s="89" t="str">
        <f>IF('[1]Lists and Calcs (Hidden)'!AJ153="","",
                    IF(INDEX('[1]5. Assess Risks'!$B$6:$B$704,MATCH('[1]Lists and Calcs (Hidden)'!AJ153,'[1]Lists and Calcs (Hidden)'!$AB$34:$AB$732,0))="","",
                                    INDEX('[1]5. Assess Risks'!$B$6:$B$704,MATCH('[1]Lists and Calcs (Hidden)'!AJ153,'[1]Lists and Calcs (Hidden)'!$AB$34:$AB$732,0))
))</f>
        <v/>
      </c>
      <c r="D129" s="90" t="str">
        <f>IF(C129="", "", '[1]2. Prepare'!$E$6)</f>
        <v/>
      </c>
      <c r="E129" s="91"/>
      <c r="F129" s="91"/>
      <c r="G129" s="91"/>
      <c r="H129" s="91"/>
      <c r="I129" s="89" t="str">
        <f>IF('[1]Lists and Calcs (Hidden)'!AJ153="","",
                    IF(INDEX('[1]5. Assess Risks'!$D$6:$D$704,MATCH('[1]Lists and Calcs (Hidden)'!AJ153,'[1]Lists and Calcs (Hidden)'!$AB$34:$AB$732,0))="","",
                                    INDEX('[1]5. Assess Risks'!$D$6:$D$704,MATCH('[1]Lists and Calcs (Hidden)'!AJ153,'[1]Lists and Calcs (Hidden)'!$AB$34:$AB$732,0))
))</f>
        <v/>
      </c>
      <c r="J129" s="91"/>
      <c r="K129" s="91"/>
      <c r="L129" s="91"/>
      <c r="M129" s="91"/>
      <c r="N129" s="91"/>
      <c r="O129" s="91"/>
      <c r="P129" s="92" t="str">
        <f>IF('[1]Lists and Calcs (Hidden)'!AJ153="","",
                    IF(INDEX('[1]5. Assess Risks'!$G$6:$G$704,MATCH('[1]Lists and Calcs (Hidden)'!AJ153,'[1]Lists and Calcs (Hidden)'!$AB$34:$AB$732,0))="","",
                                    INDEX('[1]5. Assess Risks'!$G$6:$G$704,MATCH('[1]Lists and Calcs (Hidden)'!AJ153,'[1]Lists and Calcs (Hidden)'!$AB$34:$AB$732,0))
))</f>
        <v/>
      </c>
      <c r="Q129" s="92" t="str">
        <f>IF('[1]Lists and Calcs (Hidden)'!AJ153="","",
                    IF(INDEX('[1]5. Assess Risks'!$H$6:$H$704,MATCH('[1]Lists and Calcs (Hidden)'!AJ153,'[1]Lists and Calcs (Hidden)'!$AB$34:$AB$732,0))="","",
                                    INDEX('[1]5. Assess Risks'!$H$6:$H$704,MATCH('[1]Lists and Calcs (Hidden)'!AJ153,'[1]Lists and Calcs (Hidden)'!$AB$34:$AB$732,0))
))</f>
        <v/>
      </c>
      <c r="R129" s="93" t="str">
        <f>IFERROR(IF('[1]2. Prepare'!$O$50="Quantitative",INDEX('[1]Lists and Calcs (Hidden)'!$M$12:$Q$16,MATCH('[1]6. Risk Register Integration'!P129,'[1]Lists and Calcs (Hidden)'!$K$12:$K$16,0),MATCH('[1]6. Risk Register Integration'!Q129,'[1]Lists and Calcs (Hidden)'!$M$10:$Q$10,0)),INDEX('[1]Lists and Calcs (Hidden)'!$Z$12:$AD$16,MATCH('[1]6. Risk Register Integration'!P129,'[1]Lists and Calcs (Hidden)'!$X$12:$X$16,0),MATCH('[1]6. Risk Register Integration'!Q129,'[1]Lists and Calcs (Hidden)'!$Z$10:$AD$10,0))),"")</f>
        <v/>
      </c>
      <c r="S129" s="94" t="str">
        <f>IF('[1]Lists and Calcs (Hidden)'!AJ153="","",
                    IF(INDEX('[1]5. Assess Risks'!$J$6:$J$704,MATCH('[1]Lists and Calcs (Hidden)'!AJ153,'[1]Lists and Calcs (Hidden)'!$AB$34:$AB$732,0))="","",
                                    INDEX('[1]5. Assess Risks'!$J$6:$J$704,MATCH('[1]Lists and Calcs (Hidden)'!AJ153,'[1]Lists and Calcs (Hidden)'!$AB$34:$AB$732,0))
))</f>
        <v/>
      </c>
      <c r="T129" s="102"/>
      <c r="U129" s="105"/>
      <c r="V129" s="106"/>
      <c r="W129" s="105"/>
      <c r="X129" s="105"/>
      <c r="Y129" s="89" t="str">
        <f>IF('[1]Lists and Calcs (Hidden)'!AJ153="","",
                    IF(INDEX('[1]5. Assess Risks'!$L$6:$L$704,MATCH('[1]Lists and Calcs (Hidden)'!AJ153,'[1]Lists and Calcs (Hidden)'!$AB$34:$AB$732,0))="","",
                                    INDEX('[1]5. Assess Risks'!$L$6:$L$704,MATCH('[1]Lists and Calcs (Hidden)'!AJ153,'[1]Lists and Calcs (Hidden)'!$AB$34:$AB$732,0))
))</f>
        <v/>
      </c>
      <c r="Z129" s="95"/>
      <c r="AA129" s="96"/>
      <c r="AB129" s="85"/>
      <c r="AC129" s="86"/>
      <c r="AD129" s="87" t="str">
        <f>IFERROR(IF('[1]2. Prepare'!$O$50="Quantitative",INDEX('[1]Lists and Calcs (Hidden)'!$M$12:$Q$16,MATCH('[1]6. Risk Register Integration'!AB129,'[1]Lists and Calcs (Hidden)'!$K$12:$K$16,0),MATCH('[1]6. Risk Register Integration'!AC129,'[1]Lists and Calcs (Hidden)'!$M$10:$Q$10,0)),INDEX('[1]Lists and Calcs (Hidden)'!$Z$12:$AD$16,MATCH('[1]6. Risk Register Integration'!AB129,'[1]Lists and Calcs (Hidden)'!$X$12:$X$16,0),MATCH('[1]6. Risk Register Integration'!AC129,'[1]Lists and Calcs (Hidden)'!$Z$10:$AD$10,0))),"")</f>
        <v/>
      </c>
      <c r="AE129" s="54"/>
      <c r="AF129" s="4"/>
      <c r="AG129" s="4"/>
    </row>
    <row r="130" spans="2:33" ht="330" customHeight="1" x14ac:dyDescent="0.2">
      <c r="B130" s="108"/>
      <c r="C130" s="98" t="str">
        <f>IF('[1]Lists and Calcs (Hidden)'!AJ154="","",
                    IF(INDEX('[1]5. Assess Risks'!$B$6:$B$704,MATCH('[1]Lists and Calcs (Hidden)'!AJ154,'[1]Lists and Calcs (Hidden)'!$AB$34:$AB$732,0))="","",
                                    INDEX('[1]5. Assess Risks'!$B$6:$B$704,MATCH('[1]Lists and Calcs (Hidden)'!AJ154,'[1]Lists and Calcs (Hidden)'!$AB$34:$AB$732,0))
))</f>
        <v/>
      </c>
      <c r="D130" s="90" t="str">
        <f>IF(C130="", "", '[1]2. Prepare'!$E$6)</f>
        <v/>
      </c>
      <c r="E130" s="91"/>
      <c r="F130" s="91"/>
      <c r="G130" s="91"/>
      <c r="H130" s="91"/>
      <c r="I130" s="98" t="str">
        <f>IF('[1]Lists and Calcs (Hidden)'!AJ154="","",
                    IF(INDEX('[1]5. Assess Risks'!$D$6:$D$704,MATCH('[1]Lists and Calcs (Hidden)'!AJ154,'[1]Lists and Calcs (Hidden)'!$AB$34:$AB$732,0))="","",
                                    INDEX('[1]5. Assess Risks'!$D$6:$D$704,MATCH('[1]Lists and Calcs (Hidden)'!AJ154,'[1]Lists and Calcs (Hidden)'!$AB$34:$AB$732,0))
))</f>
        <v/>
      </c>
      <c r="J130" s="91"/>
      <c r="K130" s="91"/>
      <c r="L130" s="91"/>
      <c r="M130" s="91"/>
      <c r="N130" s="91"/>
      <c r="O130" s="91"/>
      <c r="P130" s="99" t="str">
        <f>IF('[1]Lists and Calcs (Hidden)'!AJ154="","",
                    IF(INDEX('[1]5. Assess Risks'!$G$6:$G$704,MATCH('[1]Lists and Calcs (Hidden)'!AJ154,'[1]Lists and Calcs (Hidden)'!$AB$34:$AB$732,0))="","",
                                    INDEX('[1]5. Assess Risks'!$G$6:$G$704,MATCH('[1]Lists and Calcs (Hidden)'!AJ154,'[1]Lists and Calcs (Hidden)'!$AB$34:$AB$732,0))
))</f>
        <v/>
      </c>
      <c r="Q130" s="99" t="str">
        <f>IF('[1]Lists and Calcs (Hidden)'!AJ154="","",
                    IF(INDEX('[1]5. Assess Risks'!$H$6:$H$704,MATCH('[1]Lists and Calcs (Hidden)'!AJ154,'[1]Lists and Calcs (Hidden)'!$AB$34:$AB$732,0))="","",
                                    INDEX('[1]5. Assess Risks'!$H$6:$H$704,MATCH('[1]Lists and Calcs (Hidden)'!AJ154,'[1]Lists and Calcs (Hidden)'!$AB$34:$AB$732,0))
))</f>
        <v/>
      </c>
      <c r="R130" s="100" t="str">
        <f>IFERROR(IF('[1]2. Prepare'!$O$50="Quantitative",INDEX('[1]Lists and Calcs (Hidden)'!$M$12:$Q$16,MATCH('[1]6. Risk Register Integration'!P130,'[1]Lists and Calcs (Hidden)'!$K$12:$K$16,0),MATCH('[1]6. Risk Register Integration'!Q130,'[1]Lists and Calcs (Hidden)'!$M$10:$Q$10,0)),INDEX('[1]Lists and Calcs (Hidden)'!$Z$12:$AD$16,MATCH('[1]6. Risk Register Integration'!P130,'[1]Lists and Calcs (Hidden)'!$X$12:$X$16,0),MATCH('[1]6. Risk Register Integration'!Q130,'[1]Lists and Calcs (Hidden)'!$Z$10:$AD$10,0))),"")</f>
        <v/>
      </c>
      <c r="S130" s="101" t="str">
        <f>IF('[1]Lists and Calcs (Hidden)'!AJ154="","",
                    IF(INDEX('[1]5. Assess Risks'!$J$6:$J$704,MATCH('[1]Lists and Calcs (Hidden)'!AJ154,'[1]Lists and Calcs (Hidden)'!$AB$34:$AB$732,0))="","",
                                    INDEX('[1]5. Assess Risks'!$J$6:$J$704,MATCH('[1]Lists and Calcs (Hidden)'!AJ154,'[1]Lists and Calcs (Hidden)'!$AB$34:$AB$732,0))
))</f>
        <v/>
      </c>
      <c r="T130" s="102"/>
      <c r="U130" s="105"/>
      <c r="V130" s="106"/>
      <c r="W130" s="105"/>
      <c r="X130" s="105"/>
      <c r="Y130" s="98" t="str">
        <f>IF('[1]Lists and Calcs (Hidden)'!AJ154="","",
                    IF(INDEX('[1]5. Assess Risks'!$L$6:$L$704,MATCH('[1]Lists and Calcs (Hidden)'!AJ154,'[1]Lists and Calcs (Hidden)'!$AB$34:$AB$732,0))="","",
                                    INDEX('[1]5. Assess Risks'!$L$6:$L$704,MATCH('[1]Lists and Calcs (Hidden)'!AJ154,'[1]Lists and Calcs (Hidden)'!$AB$34:$AB$732,0))
))</f>
        <v/>
      </c>
      <c r="Z130" s="95"/>
      <c r="AA130" s="96"/>
      <c r="AB130" s="85"/>
      <c r="AC130" s="86"/>
      <c r="AD130" s="87" t="str">
        <f>IFERROR(IF('[1]2. Prepare'!$O$50="Quantitative",INDEX('[1]Lists and Calcs (Hidden)'!$M$12:$Q$16,MATCH('[1]6. Risk Register Integration'!AB130,'[1]Lists and Calcs (Hidden)'!$K$12:$K$16,0),MATCH('[1]6. Risk Register Integration'!AC130,'[1]Lists and Calcs (Hidden)'!$M$10:$Q$10,0)),INDEX('[1]Lists and Calcs (Hidden)'!$Z$12:$AD$16,MATCH('[1]6. Risk Register Integration'!AB130,'[1]Lists and Calcs (Hidden)'!$X$12:$X$16,0),MATCH('[1]6. Risk Register Integration'!AC130,'[1]Lists and Calcs (Hidden)'!$Z$10:$AD$10,0))),"")</f>
        <v/>
      </c>
      <c r="AE130" s="54"/>
      <c r="AF130" s="4"/>
      <c r="AG130" s="4"/>
    </row>
    <row r="131" spans="2:33" ht="330" customHeight="1" x14ac:dyDescent="0.2">
      <c r="B131" s="107"/>
      <c r="C131" s="89" t="str">
        <f>IF('[1]Lists and Calcs (Hidden)'!AJ155="","",
                    IF(INDEX('[1]5. Assess Risks'!$B$6:$B$704,MATCH('[1]Lists and Calcs (Hidden)'!AJ155,'[1]Lists and Calcs (Hidden)'!$AB$34:$AB$732,0))="","",
                                    INDEX('[1]5. Assess Risks'!$B$6:$B$704,MATCH('[1]Lists and Calcs (Hidden)'!AJ155,'[1]Lists and Calcs (Hidden)'!$AB$34:$AB$732,0))
))</f>
        <v/>
      </c>
      <c r="D131" s="90" t="str">
        <f>IF(C131="", "", '[1]2. Prepare'!$E$6)</f>
        <v/>
      </c>
      <c r="E131" s="91"/>
      <c r="F131" s="91"/>
      <c r="G131" s="91"/>
      <c r="H131" s="91"/>
      <c r="I131" s="89" t="str">
        <f>IF('[1]Lists and Calcs (Hidden)'!AJ155="","",
                    IF(INDEX('[1]5. Assess Risks'!$D$6:$D$704,MATCH('[1]Lists and Calcs (Hidden)'!AJ155,'[1]Lists and Calcs (Hidden)'!$AB$34:$AB$732,0))="","",
                                    INDEX('[1]5. Assess Risks'!$D$6:$D$704,MATCH('[1]Lists and Calcs (Hidden)'!AJ155,'[1]Lists and Calcs (Hidden)'!$AB$34:$AB$732,0))
))</f>
        <v/>
      </c>
      <c r="J131" s="91"/>
      <c r="K131" s="91"/>
      <c r="L131" s="91"/>
      <c r="M131" s="91"/>
      <c r="N131" s="91"/>
      <c r="O131" s="91"/>
      <c r="P131" s="92" t="str">
        <f>IF('[1]Lists and Calcs (Hidden)'!AJ155="","",
                    IF(INDEX('[1]5. Assess Risks'!$G$6:$G$704,MATCH('[1]Lists and Calcs (Hidden)'!AJ155,'[1]Lists and Calcs (Hidden)'!$AB$34:$AB$732,0))="","",
                                    INDEX('[1]5. Assess Risks'!$G$6:$G$704,MATCH('[1]Lists and Calcs (Hidden)'!AJ155,'[1]Lists and Calcs (Hidden)'!$AB$34:$AB$732,0))
))</f>
        <v/>
      </c>
      <c r="Q131" s="92" t="str">
        <f>IF('[1]Lists and Calcs (Hidden)'!AJ155="","",
                    IF(INDEX('[1]5. Assess Risks'!$H$6:$H$704,MATCH('[1]Lists and Calcs (Hidden)'!AJ155,'[1]Lists and Calcs (Hidden)'!$AB$34:$AB$732,0))="","",
                                    INDEX('[1]5. Assess Risks'!$H$6:$H$704,MATCH('[1]Lists and Calcs (Hidden)'!AJ155,'[1]Lists and Calcs (Hidden)'!$AB$34:$AB$732,0))
))</f>
        <v/>
      </c>
      <c r="R131" s="93" t="str">
        <f>IFERROR(IF('[1]2. Prepare'!$O$50="Quantitative",INDEX('[1]Lists and Calcs (Hidden)'!$M$12:$Q$16,MATCH('[1]6. Risk Register Integration'!P131,'[1]Lists and Calcs (Hidden)'!$K$12:$K$16,0),MATCH('[1]6. Risk Register Integration'!Q131,'[1]Lists and Calcs (Hidden)'!$M$10:$Q$10,0)),INDEX('[1]Lists and Calcs (Hidden)'!$Z$12:$AD$16,MATCH('[1]6. Risk Register Integration'!P131,'[1]Lists and Calcs (Hidden)'!$X$12:$X$16,0),MATCH('[1]6. Risk Register Integration'!Q131,'[1]Lists and Calcs (Hidden)'!$Z$10:$AD$10,0))),"")</f>
        <v/>
      </c>
      <c r="S131" s="94" t="str">
        <f>IF('[1]Lists and Calcs (Hidden)'!AJ155="","",
                    IF(INDEX('[1]5. Assess Risks'!$J$6:$J$704,MATCH('[1]Lists and Calcs (Hidden)'!AJ155,'[1]Lists and Calcs (Hidden)'!$AB$34:$AB$732,0))="","",
                                    INDEX('[1]5. Assess Risks'!$J$6:$J$704,MATCH('[1]Lists and Calcs (Hidden)'!AJ155,'[1]Lists and Calcs (Hidden)'!$AB$34:$AB$732,0))
))</f>
        <v/>
      </c>
      <c r="T131" s="102"/>
      <c r="U131" s="105"/>
      <c r="V131" s="106"/>
      <c r="W131" s="105"/>
      <c r="X131" s="105"/>
      <c r="Y131" s="89" t="str">
        <f>IF('[1]Lists and Calcs (Hidden)'!AJ155="","",
                    IF(INDEX('[1]5. Assess Risks'!$L$6:$L$704,MATCH('[1]Lists and Calcs (Hidden)'!AJ155,'[1]Lists and Calcs (Hidden)'!$AB$34:$AB$732,0))="","",
                                    INDEX('[1]5. Assess Risks'!$L$6:$L$704,MATCH('[1]Lists and Calcs (Hidden)'!AJ155,'[1]Lists and Calcs (Hidden)'!$AB$34:$AB$732,0))
))</f>
        <v/>
      </c>
      <c r="Z131" s="95"/>
      <c r="AA131" s="96"/>
      <c r="AB131" s="85"/>
      <c r="AC131" s="86"/>
      <c r="AD131" s="87" t="str">
        <f>IFERROR(IF('[1]2. Prepare'!$O$50="Quantitative",INDEX('[1]Lists and Calcs (Hidden)'!$M$12:$Q$16,MATCH('[1]6. Risk Register Integration'!AB131,'[1]Lists and Calcs (Hidden)'!$K$12:$K$16,0),MATCH('[1]6. Risk Register Integration'!AC131,'[1]Lists and Calcs (Hidden)'!$M$10:$Q$10,0)),INDEX('[1]Lists and Calcs (Hidden)'!$Z$12:$AD$16,MATCH('[1]6. Risk Register Integration'!AB131,'[1]Lists and Calcs (Hidden)'!$X$12:$X$16,0),MATCH('[1]6. Risk Register Integration'!AC131,'[1]Lists and Calcs (Hidden)'!$Z$10:$AD$10,0))),"")</f>
        <v/>
      </c>
      <c r="AE131" s="54"/>
      <c r="AF131" s="4"/>
      <c r="AG131" s="4"/>
    </row>
    <row r="132" spans="2:33" ht="330" customHeight="1" x14ac:dyDescent="0.2">
      <c r="B132" s="107"/>
      <c r="C132" s="98" t="str">
        <f>IF('[1]Lists and Calcs (Hidden)'!AJ156="","",
                    IF(INDEX('[1]5. Assess Risks'!$B$6:$B$704,MATCH('[1]Lists and Calcs (Hidden)'!AJ156,'[1]Lists and Calcs (Hidden)'!$AB$34:$AB$732,0))="","",
                                    INDEX('[1]5. Assess Risks'!$B$6:$B$704,MATCH('[1]Lists and Calcs (Hidden)'!AJ156,'[1]Lists and Calcs (Hidden)'!$AB$34:$AB$732,0))
))</f>
        <v/>
      </c>
      <c r="D132" s="90" t="str">
        <f>IF(C132="", "", '[1]2. Prepare'!$E$6)</f>
        <v/>
      </c>
      <c r="E132" s="91"/>
      <c r="F132" s="91"/>
      <c r="G132" s="91"/>
      <c r="H132" s="91"/>
      <c r="I132" s="98" t="str">
        <f>IF('[1]Lists and Calcs (Hidden)'!AJ156="","",
                    IF(INDEX('[1]5. Assess Risks'!$D$6:$D$704,MATCH('[1]Lists and Calcs (Hidden)'!AJ156,'[1]Lists and Calcs (Hidden)'!$AB$34:$AB$732,0))="","",
                                    INDEX('[1]5. Assess Risks'!$D$6:$D$704,MATCH('[1]Lists and Calcs (Hidden)'!AJ156,'[1]Lists and Calcs (Hidden)'!$AB$34:$AB$732,0))
))</f>
        <v/>
      </c>
      <c r="J132" s="91"/>
      <c r="K132" s="91"/>
      <c r="L132" s="91"/>
      <c r="M132" s="91"/>
      <c r="N132" s="91"/>
      <c r="O132" s="91"/>
      <c r="P132" s="99" t="str">
        <f>IF('[1]Lists and Calcs (Hidden)'!AJ156="","",
                    IF(INDEX('[1]5. Assess Risks'!$G$6:$G$704,MATCH('[1]Lists and Calcs (Hidden)'!AJ156,'[1]Lists and Calcs (Hidden)'!$AB$34:$AB$732,0))="","",
                                    INDEX('[1]5. Assess Risks'!$G$6:$G$704,MATCH('[1]Lists and Calcs (Hidden)'!AJ156,'[1]Lists and Calcs (Hidden)'!$AB$34:$AB$732,0))
))</f>
        <v/>
      </c>
      <c r="Q132" s="99" t="str">
        <f>IF('[1]Lists and Calcs (Hidden)'!AJ156="","",
                    IF(INDEX('[1]5. Assess Risks'!$H$6:$H$704,MATCH('[1]Lists and Calcs (Hidden)'!AJ156,'[1]Lists and Calcs (Hidden)'!$AB$34:$AB$732,0))="","",
                                    INDEX('[1]5. Assess Risks'!$H$6:$H$704,MATCH('[1]Lists and Calcs (Hidden)'!AJ156,'[1]Lists and Calcs (Hidden)'!$AB$34:$AB$732,0))
))</f>
        <v/>
      </c>
      <c r="R132" s="100" t="str">
        <f>IFERROR(IF('[1]2. Prepare'!$O$50="Quantitative",INDEX('[1]Lists and Calcs (Hidden)'!$M$12:$Q$16,MATCH('[1]6. Risk Register Integration'!P132,'[1]Lists and Calcs (Hidden)'!$K$12:$K$16,0),MATCH('[1]6. Risk Register Integration'!Q132,'[1]Lists and Calcs (Hidden)'!$M$10:$Q$10,0)),INDEX('[1]Lists and Calcs (Hidden)'!$Z$12:$AD$16,MATCH('[1]6. Risk Register Integration'!P132,'[1]Lists and Calcs (Hidden)'!$X$12:$X$16,0),MATCH('[1]6. Risk Register Integration'!Q132,'[1]Lists and Calcs (Hidden)'!$Z$10:$AD$10,0))),"")</f>
        <v/>
      </c>
      <c r="S132" s="101" t="str">
        <f>IF('[1]Lists and Calcs (Hidden)'!AJ156="","",
                    IF(INDEX('[1]5. Assess Risks'!$J$6:$J$704,MATCH('[1]Lists and Calcs (Hidden)'!AJ156,'[1]Lists and Calcs (Hidden)'!$AB$34:$AB$732,0))="","",
                                    INDEX('[1]5. Assess Risks'!$J$6:$J$704,MATCH('[1]Lists and Calcs (Hidden)'!AJ156,'[1]Lists and Calcs (Hidden)'!$AB$34:$AB$732,0))
))</f>
        <v/>
      </c>
      <c r="T132" s="102"/>
      <c r="U132" s="105"/>
      <c r="V132" s="106"/>
      <c r="W132" s="105"/>
      <c r="X132" s="105"/>
      <c r="Y132" s="98" t="str">
        <f>IF('[1]Lists and Calcs (Hidden)'!AJ156="","",
                    IF(INDEX('[1]5. Assess Risks'!$L$6:$L$704,MATCH('[1]Lists and Calcs (Hidden)'!AJ156,'[1]Lists and Calcs (Hidden)'!$AB$34:$AB$732,0))="","",
                                    INDEX('[1]5. Assess Risks'!$L$6:$L$704,MATCH('[1]Lists and Calcs (Hidden)'!AJ156,'[1]Lists and Calcs (Hidden)'!$AB$34:$AB$732,0))
))</f>
        <v/>
      </c>
      <c r="Z132" s="95"/>
      <c r="AA132" s="96"/>
      <c r="AB132" s="85"/>
      <c r="AC132" s="86"/>
      <c r="AD132" s="87" t="str">
        <f>IFERROR(IF('[1]2. Prepare'!$O$50="Quantitative",INDEX('[1]Lists and Calcs (Hidden)'!$M$12:$Q$16,MATCH('[1]6. Risk Register Integration'!AB132,'[1]Lists and Calcs (Hidden)'!$K$12:$K$16,0),MATCH('[1]6. Risk Register Integration'!AC132,'[1]Lists and Calcs (Hidden)'!$M$10:$Q$10,0)),INDEX('[1]Lists and Calcs (Hidden)'!$Z$12:$AD$16,MATCH('[1]6. Risk Register Integration'!AB132,'[1]Lists and Calcs (Hidden)'!$X$12:$X$16,0),MATCH('[1]6. Risk Register Integration'!AC132,'[1]Lists and Calcs (Hidden)'!$Z$10:$AD$10,0))),"")</f>
        <v/>
      </c>
      <c r="AE132" s="54"/>
      <c r="AF132" s="4"/>
      <c r="AG132" s="4"/>
    </row>
    <row r="133" spans="2:33" ht="330" customHeight="1" x14ac:dyDescent="0.2">
      <c r="B133" s="107"/>
      <c r="C133" s="89" t="str">
        <f>IF('[1]Lists and Calcs (Hidden)'!AJ157="","",
                    IF(INDEX('[1]5. Assess Risks'!$B$6:$B$704,MATCH('[1]Lists and Calcs (Hidden)'!AJ157,'[1]Lists and Calcs (Hidden)'!$AB$34:$AB$732,0))="","",
                                    INDEX('[1]5. Assess Risks'!$B$6:$B$704,MATCH('[1]Lists and Calcs (Hidden)'!AJ157,'[1]Lists and Calcs (Hidden)'!$AB$34:$AB$732,0))
))</f>
        <v/>
      </c>
      <c r="D133" s="90" t="str">
        <f>IF(C133="", "", '[1]2. Prepare'!$E$6)</f>
        <v/>
      </c>
      <c r="E133" s="91"/>
      <c r="F133" s="91"/>
      <c r="G133" s="91"/>
      <c r="H133" s="91"/>
      <c r="I133" s="89" t="str">
        <f>IF('[1]Lists and Calcs (Hidden)'!AJ157="","",
                    IF(INDEX('[1]5. Assess Risks'!$D$6:$D$704,MATCH('[1]Lists and Calcs (Hidden)'!AJ157,'[1]Lists and Calcs (Hidden)'!$AB$34:$AB$732,0))="","",
                                    INDEX('[1]5. Assess Risks'!$D$6:$D$704,MATCH('[1]Lists and Calcs (Hidden)'!AJ157,'[1]Lists and Calcs (Hidden)'!$AB$34:$AB$732,0))
))</f>
        <v/>
      </c>
      <c r="J133" s="91"/>
      <c r="K133" s="91"/>
      <c r="L133" s="91"/>
      <c r="M133" s="91"/>
      <c r="N133" s="91"/>
      <c r="O133" s="91"/>
      <c r="P133" s="92" t="str">
        <f>IF('[1]Lists and Calcs (Hidden)'!AJ157="","",
                    IF(INDEX('[1]5. Assess Risks'!$G$6:$G$704,MATCH('[1]Lists and Calcs (Hidden)'!AJ157,'[1]Lists and Calcs (Hidden)'!$AB$34:$AB$732,0))="","",
                                    INDEX('[1]5. Assess Risks'!$G$6:$G$704,MATCH('[1]Lists and Calcs (Hidden)'!AJ157,'[1]Lists and Calcs (Hidden)'!$AB$34:$AB$732,0))
))</f>
        <v/>
      </c>
      <c r="Q133" s="92" t="str">
        <f>IF('[1]Lists and Calcs (Hidden)'!AJ157="","",
                    IF(INDEX('[1]5. Assess Risks'!$H$6:$H$704,MATCH('[1]Lists and Calcs (Hidden)'!AJ157,'[1]Lists and Calcs (Hidden)'!$AB$34:$AB$732,0))="","",
                                    INDEX('[1]5. Assess Risks'!$H$6:$H$704,MATCH('[1]Lists and Calcs (Hidden)'!AJ157,'[1]Lists and Calcs (Hidden)'!$AB$34:$AB$732,0))
))</f>
        <v/>
      </c>
      <c r="R133" s="93" t="str">
        <f>IFERROR(IF('[1]2. Prepare'!$O$50="Quantitative",INDEX('[1]Lists and Calcs (Hidden)'!$M$12:$Q$16,MATCH('[1]6. Risk Register Integration'!P133,'[1]Lists and Calcs (Hidden)'!$K$12:$K$16,0),MATCH('[1]6. Risk Register Integration'!Q133,'[1]Lists and Calcs (Hidden)'!$M$10:$Q$10,0)),INDEX('[1]Lists and Calcs (Hidden)'!$Z$12:$AD$16,MATCH('[1]6. Risk Register Integration'!P133,'[1]Lists and Calcs (Hidden)'!$X$12:$X$16,0),MATCH('[1]6. Risk Register Integration'!Q133,'[1]Lists and Calcs (Hidden)'!$Z$10:$AD$10,0))),"")</f>
        <v/>
      </c>
      <c r="S133" s="94" t="str">
        <f>IF('[1]Lists and Calcs (Hidden)'!AJ157="","",
                    IF(INDEX('[1]5. Assess Risks'!$J$6:$J$704,MATCH('[1]Lists and Calcs (Hidden)'!AJ157,'[1]Lists and Calcs (Hidden)'!$AB$34:$AB$732,0))="","",
                                    INDEX('[1]5. Assess Risks'!$J$6:$J$704,MATCH('[1]Lists and Calcs (Hidden)'!AJ157,'[1]Lists and Calcs (Hidden)'!$AB$34:$AB$732,0))
))</f>
        <v/>
      </c>
      <c r="T133" s="102"/>
      <c r="U133" s="105"/>
      <c r="V133" s="106"/>
      <c r="W133" s="105"/>
      <c r="X133" s="105"/>
      <c r="Y133" s="89" t="str">
        <f>IF('[1]Lists and Calcs (Hidden)'!AJ157="","",
                    IF(INDEX('[1]5. Assess Risks'!$L$6:$L$704,MATCH('[1]Lists and Calcs (Hidden)'!AJ157,'[1]Lists and Calcs (Hidden)'!$AB$34:$AB$732,0))="","",
                                    INDEX('[1]5. Assess Risks'!$L$6:$L$704,MATCH('[1]Lists and Calcs (Hidden)'!AJ157,'[1]Lists and Calcs (Hidden)'!$AB$34:$AB$732,0))
))</f>
        <v/>
      </c>
      <c r="Z133" s="95"/>
      <c r="AA133" s="96"/>
      <c r="AB133" s="85"/>
      <c r="AC133" s="86"/>
      <c r="AD133" s="87" t="str">
        <f>IFERROR(IF('[1]2. Prepare'!$O$50="Quantitative",INDEX('[1]Lists and Calcs (Hidden)'!$M$12:$Q$16,MATCH('[1]6. Risk Register Integration'!AB133,'[1]Lists and Calcs (Hidden)'!$K$12:$K$16,0),MATCH('[1]6. Risk Register Integration'!AC133,'[1]Lists and Calcs (Hidden)'!$M$10:$Q$10,0)),INDEX('[1]Lists and Calcs (Hidden)'!$Z$12:$AD$16,MATCH('[1]6. Risk Register Integration'!AB133,'[1]Lists and Calcs (Hidden)'!$X$12:$X$16,0),MATCH('[1]6. Risk Register Integration'!AC133,'[1]Lists and Calcs (Hidden)'!$Z$10:$AD$10,0))),"")</f>
        <v/>
      </c>
      <c r="AE133" s="54"/>
      <c r="AF133" s="4"/>
      <c r="AG133" s="4"/>
    </row>
    <row r="134" spans="2:33" ht="330" customHeight="1" x14ac:dyDescent="0.2">
      <c r="B134" s="108"/>
      <c r="C134" s="98" t="str">
        <f>IF('[1]Lists and Calcs (Hidden)'!AJ158="","",
                    IF(INDEX('[1]5. Assess Risks'!$B$6:$B$704,MATCH('[1]Lists and Calcs (Hidden)'!AJ158,'[1]Lists and Calcs (Hidden)'!$AB$34:$AB$732,0))="","",
                                    INDEX('[1]5. Assess Risks'!$B$6:$B$704,MATCH('[1]Lists and Calcs (Hidden)'!AJ158,'[1]Lists and Calcs (Hidden)'!$AB$34:$AB$732,0))
))</f>
        <v/>
      </c>
      <c r="D134" s="90" t="str">
        <f>IF(C134="", "", '[1]2. Prepare'!$E$6)</f>
        <v/>
      </c>
      <c r="E134" s="91"/>
      <c r="F134" s="91"/>
      <c r="G134" s="91"/>
      <c r="H134" s="91"/>
      <c r="I134" s="98" t="str">
        <f>IF('[1]Lists and Calcs (Hidden)'!AJ158="","",
                    IF(INDEX('[1]5. Assess Risks'!$D$6:$D$704,MATCH('[1]Lists and Calcs (Hidden)'!AJ158,'[1]Lists and Calcs (Hidden)'!$AB$34:$AB$732,0))="","",
                                    INDEX('[1]5. Assess Risks'!$D$6:$D$704,MATCH('[1]Lists and Calcs (Hidden)'!AJ158,'[1]Lists and Calcs (Hidden)'!$AB$34:$AB$732,0))
))</f>
        <v/>
      </c>
      <c r="J134" s="91"/>
      <c r="K134" s="91"/>
      <c r="L134" s="91"/>
      <c r="M134" s="91"/>
      <c r="N134" s="91"/>
      <c r="O134" s="91"/>
      <c r="P134" s="99" t="str">
        <f>IF('[1]Lists and Calcs (Hidden)'!AJ158="","",
                    IF(INDEX('[1]5. Assess Risks'!$G$6:$G$704,MATCH('[1]Lists and Calcs (Hidden)'!AJ158,'[1]Lists and Calcs (Hidden)'!$AB$34:$AB$732,0))="","",
                                    INDEX('[1]5. Assess Risks'!$G$6:$G$704,MATCH('[1]Lists and Calcs (Hidden)'!AJ158,'[1]Lists and Calcs (Hidden)'!$AB$34:$AB$732,0))
))</f>
        <v/>
      </c>
      <c r="Q134" s="99" t="str">
        <f>IF('[1]Lists and Calcs (Hidden)'!AJ158="","",
                    IF(INDEX('[1]5. Assess Risks'!$H$6:$H$704,MATCH('[1]Lists and Calcs (Hidden)'!AJ158,'[1]Lists and Calcs (Hidden)'!$AB$34:$AB$732,0))="","",
                                    INDEX('[1]5. Assess Risks'!$H$6:$H$704,MATCH('[1]Lists and Calcs (Hidden)'!AJ158,'[1]Lists and Calcs (Hidden)'!$AB$34:$AB$732,0))
))</f>
        <v/>
      </c>
      <c r="R134" s="100" t="str">
        <f>IFERROR(IF('[1]2. Prepare'!$O$50="Quantitative",INDEX('[1]Lists and Calcs (Hidden)'!$M$12:$Q$16,MATCH('[1]6. Risk Register Integration'!P134,'[1]Lists and Calcs (Hidden)'!$K$12:$K$16,0),MATCH('[1]6. Risk Register Integration'!Q134,'[1]Lists and Calcs (Hidden)'!$M$10:$Q$10,0)),INDEX('[1]Lists and Calcs (Hidden)'!$Z$12:$AD$16,MATCH('[1]6. Risk Register Integration'!P134,'[1]Lists and Calcs (Hidden)'!$X$12:$X$16,0),MATCH('[1]6. Risk Register Integration'!Q134,'[1]Lists and Calcs (Hidden)'!$Z$10:$AD$10,0))),"")</f>
        <v/>
      </c>
      <c r="S134" s="101" t="str">
        <f>IF('[1]Lists and Calcs (Hidden)'!AJ158="","",
                    IF(INDEX('[1]5. Assess Risks'!$J$6:$J$704,MATCH('[1]Lists and Calcs (Hidden)'!AJ158,'[1]Lists and Calcs (Hidden)'!$AB$34:$AB$732,0))="","",
                                    INDEX('[1]5. Assess Risks'!$J$6:$J$704,MATCH('[1]Lists and Calcs (Hidden)'!AJ158,'[1]Lists and Calcs (Hidden)'!$AB$34:$AB$732,0))
))</f>
        <v/>
      </c>
      <c r="T134" s="102"/>
      <c r="U134" s="105"/>
      <c r="V134" s="106"/>
      <c r="W134" s="105"/>
      <c r="X134" s="105"/>
      <c r="Y134" s="98" t="str">
        <f>IF('[1]Lists and Calcs (Hidden)'!AJ158="","",
                    IF(INDEX('[1]5. Assess Risks'!$L$6:$L$704,MATCH('[1]Lists and Calcs (Hidden)'!AJ158,'[1]Lists and Calcs (Hidden)'!$AB$34:$AB$732,0))="","",
                                    INDEX('[1]5. Assess Risks'!$L$6:$L$704,MATCH('[1]Lists and Calcs (Hidden)'!AJ158,'[1]Lists and Calcs (Hidden)'!$AB$34:$AB$732,0))
))</f>
        <v/>
      </c>
      <c r="Z134" s="95"/>
      <c r="AA134" s="96"/>
      <c r="AB134" s="85"/>
      <c r="AC134" s="86"/>
      <c r="AD134" s="87" t="str">
        <f>IFERROR(IF('[1]2. Prepare'!$O$50="Quantitative",INDEX('[1]Lists and Calcs (Hidden)'!$M$12:$Q$16,MATCH('[1]6. Risk Register Integration'!AB134,'[1]Lists and Calcs (Hidden)'!$K$12:$K$16,0),MATCH('[1]6. Risk Register Integration'!AC134,'[1]Lists and Calcs (Hidden)'!$M$10:$Q$10,0)),INDEX('[1]Lists and Calcs (Hidden)'!$Z$12:$AD$16,MATCH('[1]6. Risk Register Integration'!AB134,'[1]Lists and Calcs (Hidden)'!$X$12:$X$16,0),MATCH('[1]6. Risk Register Integration'!AC134,'[1]Lists and Calcs (Hidden)'!$Z$10:$AD$10,0))),"")</f>
        <v/>
      </c>
      <c r="AE134" s="54"/>
      <c r="AF134" s="4"/>
      <c r="AG134" s="4"/>
    </row>
    <row r="135" spans="2:33" ht="330" customHeight="1" x14ac:dyDescent="0.2">
      <c r="B135" s="107"/>
      <c r="C135" s="89" t="str">
        <f>IF('[1]Lists and Calcs (Hidden)'!AJ159="","",
                    IF(INDEX('[1]5. Assess Risks'!$B$6:$B$704,MATCH('[1]Lists and Calcs (Hidden)'!AJ159,'[1]Lists and Calcs (Hidden)'!$AB$34:$AB$732,0))="","",
                                    INDEX('[1]5. Assess Risks'!$B$6:$B$704,MATCH('[1]Lists and Calcs (Hidden)'!AJ159,'[1]Lists and Calcs (Hidden)'!$AB$34:$AB$732,0))
))</f>
        <v/>
      </c>
      <c r="D135" s="90" t="str">
        <f>IF(C135="", "", '[1]2. Prepare'!$E$6)</f>
        <v/>
      </c>
      <c r="E135" s="91"/>
      <c r="F135" s="91"/>
      <c r="G135" s="91"/>
      <c r="H135" s="91"/>
      <c r="I135" s="89" t="str">
        <f>IF('[1]Lists and Calcs (Hidden)'!AJ159="","",
                    IF(INDEX('[1]5. Assess Risks'!$D$6:$D$704,MATCH('[1]Lists and Calcs (Hidden)'!AJ159,'[1]Lists and Calcs (Hidden)'!$AB$34:$AB$732,0))="","",
                                    INDEX('[1]5. Assess Risks'!$D$6:$D$704,MATCH('[1]Lists and Calcs (Hidden)'!AJ159,'[1]Lists and Calcs (Hidden)'!$AB$34:$AB$732,0))
))</f>
        <v/>
      </c>
      <c r="J135" s="91"/>
      <c r="K135" s="91"/>
      <c r="L135" s="91"/>
      <c r="M135" s="91"/>
      <c r="N135" s="91"/>
      <c r="O135" s="91"/>
      <c r="P135" s="92" t="str">
        <f>IF('[1]Lists and Calcs (Hidden)'!AJ159="","",
                    IF(INDEX('[1]5. Assess Risks'!$G$6:$G$704,MATCH('[1]Lists and Calcs (Hidden)'!AJ159,'[1]Lists and Calcs (Hidden)'!$AB$34:$AB$732,0))="","",
                                    INDEX('[1]5. Assess Risks'!$G$6:$G$704,MATCH('[1]Lists and Calcs (Hidden)'!AJ159,'[1]Lists and Calcs (Hidden)'!$AB$34:$AB$732,0))
))</f>
        <v/>
      </c>
      <c r="Q135" s="92" t="str">
        <f>IF('[1]Lists and Calcs (Hidden)'!AJ159="","",
                    IF(INDEX('[1]5. Assess Risks'!$H$6:$H$704,MATCH('[1]Lists and Calcs (Hidden)'!AJ159,'[1]Lists and Calcs (Hidden)'!$AB$34:$AB$732,0))="","",
                                    INDEX('[1]5. Assess Risks'!$H$6:$H$704,MATCH('[1]Lists and Calcs (Hidden)'!AJ159,'[1]Lists and Calcs (Hidden)'!$AB$34:$AB$732,0))
))</f>
        <v/>
      </c>
      <c r="R135" s="93" t="str">
        <f>IFERROR(IF('[1]2. Prepare'!$O$50="Quantitative",INDEX('[1]Lists and Calcs (Hidden)'!$M$12:$Q$16,MATCH('[1]6. Risk Register Integration'!P135,'[1]Lists and Calcs (Hidden)'!$K$12:$K$16,0),MATCH('[1]6. Risk Register Integration'!Q135,'[1]Lists and Calcs (Hidden)'!$M$10:$Q$10,0)),INDEX('[1]Lists and Calcs (Hidden)'!$Z$12:$AD$16,MATCH('[1]6. Risk Register Integration'!P135,'[1]Lists and Calcs (Hidden)'!$X$12:$X$16,0),MATCH('[1]6. Risk Register Integration'!Q135,'[1]Lists and Calcs (Hidden)'!$Z$10:$AD$10,0))),"")</f>
        <v/>
      </c>
      <c r="S135" s="94" t="str">
        <f>IF('[1]Lists and Calcs (Hidden)'!AJ159="","",
                    IF(INDEX('[1]5. Assess Risks'!$J$6:$J$704,MATCH('[1]Lists and Calcs (Hidden)'!AJ159,'[1]Lists and Calcs (Hidden)'!$AB$34:$AB$732,0))="","",
                                    INDEX('[1]5. Assess Risks'!$J$6:$J$704,MATCH('[1]Lists and Calcs (Hidden)'!AJ159,'[1]Lists and Calcs (Hidden)'!$AB$34:$AB$732,0))
))</f>
        <v/>
      </c>
      <c r="T135" s="102"/>
      <c r="U135" s="105"/>
      <c r="V135" s="106"/>
      <c r="W135" s="105"/>
      <c r="X135" s="105"/>
      <c r="Y135" s="89" t="str">
        <f>IF('[1]Lists and Calcs (Hidden)'!AJ159="","",
                    IF(INDEX('[1]5. Assess Risks'!$L$6:$L$704,MATCH('[1]Lists and Calcs (Hidden)'!AJ159,'[1]Lists and Calcs (Hidden)'!$AB$34:$AB$732,0))="","",
                                    INDEX('[1]5. Assess Risks'!$L$6:$L$704,MATCH('[1]Lists and Calcs (Hidden)'!AJ159,'[1]Lists and Calcs (Hidden)'!$AB$34:$AB$732,0))
))</f>
        <v/>
      </c>
      <c r="Z135" s="95"/>
      <c r="AA135" s="96"/>
      <c r="AB135" s="85"/>
      <c r="AC135" s="86"/>
      <c r="AD135" s="87" t="str">
        <f>IFERROR(IF('[1]2. Prepare'!$O$50="Quantitative",INDEX('[1]Lists and Calcs (Hidden)'!$M$12:$Q$16,MATCH('[1]6. Risk Register Integration'!AB135,'[1]Lists and Calcs (Hidden)'!$K$12:$K$16,0),MATCH('[1]6. Risk Register Integration'!AC135,'[1]Lists and Calcs (Hidden)'!$M$10:$Q$10,0)),INDEX('[1]Lists and Calcs (Hidden)'!$Z$12:$AD$16,MATCH('[1]6. Risk Register Integration'!AB135,'[1]Lists and Calcs (Hidden)'!$X$12:$X$16,0),MATCH('[1]6. Risk Register Integration'!AC135,'[1]Lists and Calcs (Hidden)'!$Z$10:$AD$10,0))),"")</f>
        <v/>
      </c>
      <c r="AE135" s="54"/>
      <c r="AF135" s="4"/>
      <c r="AG135" s="4"/>
    </row>
    <row r="136" spans="2:33" ht="330" customHeight="1" x14ac:dyDescent="0.2">
      <c r="B136" s="107"/>
      <c r="C136" s="98" t="str">
        <f>IF('[1]Lists and Calcs (Hidden)'!AJ160="","",
                    IF(INDEX('[1]5. Assess Risks'!$B$6:$B$704,MATCH('[1]Lists and Calcs (Hidden)'!AJ160,'[1]Lists and Calcs (Hidden)'!$AB$34:$AB$732,0))="","",
                                    INDEX('[1]5. Assess Risks'!$B$6:$B$704,MATCH('[1]Lists and Calcs (Hidden)'!AJ160,'[1]Lists and Calcs (Hidden)'!$AB$34:$AB$732,0))
))</f>
        <v/>
      </c>
      <c r="D136" s="90" t="str">
        <f>IF(C136="", "", '[1]2. Prepare'!$E$6)</f>
        <v/>
      </c>
      <c r="E136" s="91"/>
      <c r="F136" s="91"/>
      <c r="G136" s="91"/>
      <c r="H136" s="91"/>
      <c r="I136" s="98" t="str">
        <f>IF('[1]Lists and Calcs (Hidden)'!AJ160="","",
                    IF(INDEX('[1]5. Assess Risks'!$D$6:$D$704,MATCH('[1]Lists and Calcs (Hidden)'!AJ160,'[1]Lists and Calcs (Hidden)'!$AB$34:$AB$732,0))="","",
                                    INDEX('[1]5. Assess Risks'!$D$6:$D$704,MATCH('[1]Lists and Calcs (Hidden)'!AJ160,'[1]Lists and Calcs (Hidden)'!$AB$34:$AB$732,0))
))</f>
        <v/>
      </c>
      <c r="J136" s="91"/>
      <c r="K136" s="91"/>
      <c r="L136" s="91"/>
      <c r="M136" s="91"/>
      <c r="N136" s="91"/>
      <c r="O136" s="91"/>
      <c r="P136" s="99" t="str">
        <f>IF('[1]Lists and Calcs (Hidden)'!AJ160="","",
                    IF(INDEX('[1]5. Assess Risks'!$G$6:$G$704,MATCH('[1]Lists and Calcs (Hidden)'!AJ160,'[1]Lists and Calcs (Hidden)'!$AB$34:$AB$732,0))="","",
                                    INDEX('[1]5. Assess Risks'!$G$6:$G$704,MATCH('[1]Lists and Calcs (Hidden)'!AJ160,'[1]Lists and Calcs (Hidden)'!$AB$34:$AB$732,0))
))</f>
        <v/>
      </c>
      <c r="Q136" s="99" t="str">
        <f>IF('[1]Lists and Calcs (Hidden)'!AJ160="","",
                    IF(INDEX('[1]5. Assess Risks'!$H$6:$H$704,MATCH('[1]Lists and Calcs (Hidden)'!AJ160,'[1]Lists and Calcs (Hidden)'!$AB$34:$AB$732,0))="","",
                                    INDEX('[1]5. Assess Risks'!$H$6:$H$704,MATCH('[1]Lists and Calcs (Hidden)'!AJ160,'[1]Lists and Calcs (Hidden)'!$AB$34:$AB$732,0))
))</f>
        <v/>
      </c>
      <c r="R136" s="100" t="str">
        <f>IFERROR(IF('[1]2. Prepare'!$O$50="Quantitative",INDEX('[1]Lists and Calcs (Hidden)'!$M$12:$Q$16,MATCH('[1]6. Risk Register Integration'!P136,'[1]Lists and Calcs (Hidden)'!$K$12:$K$16,0),MATCH('[1]6. Risk Register Integration'!Q136,'[1]Lists and Calcs (Hidden)'!$M$10:$Q$10,0)),INDEX('[1]Lists and Calcs (Hidden)'!$Z$12:$AD$16,MATCH('[1]6. Risk Register Integration'!P136,'[1]Lists and Calcs (Hidden)'!$X$12:$X$16,0),MATCH('[1]6. Risk Register Integration'!Q136,'[1]Lists and Calcs (Hidden)'!$Z$10:$AD$10,0))),"")</f>
        <v/>
      </c>
      <c r="S136" s="101" t="str">
        <f>IF('[1]Lists and Calcs (Hidden)'!AJ160="","",
                    IF(INDEX('[1]5. Assess Risks'!$J$6:$J$704,MATCH('[1]Lists and Calcs (Hidden)'!AJ160,'[1]Lists and Calcs (Hidden)'!$AB$34:$AB$732,0))="","",
                                    INDEX('[1]5. Assess Risks'!$J$6:$J$704,MATCH('[1]Lists and Calcs (Hidden)'!AJ160,'[1]Lists and Calcs (Hidden)'!$AB$34:$AB$732,0))
))</f>
        <v/>
      </c>
      <c r="T136" s="102"/>
      <c r="U136" s="105"/>
      <c r="V136" s="106"/>
      <c r="W136" s="105"/>
      <c r="X136" s="105"/>
      <c r="Y136" s="98" t="str">
        <f>IF('[1]Lists and Calcs (Hidden)'!AJ160="","",
                    IF(INDEX('[1]5. Assess Risks'!$L$6:$L$704,MATCH('[1]Lists and Calcs (Hidden)'!AJ160,'[1]Lists and Calcs (Hidden)'!$AB$34:$AB$732,0))="","",
                                    INDEX('[1]5. Assess Risks'!$L$6:$L$704,MATCH('[1]Lists and Calcs (Hidden)'!AJ160,'[1]Lists and Calcs (Hidden)'!$AB$34:$AB$732,0))
))</f>
        <v/>
      </c>
      <c r="Z136" s="95"/>
      <c r="AA136" s="96"/>
      <c r="AB136" s="85"/>
      <c r="AC136" s="86"/>
      <c r="AD136" s="87" t="str">
        <f>IFERROR(IF('[1]2. Prepare'!$O$50="Quantitative",INDEX('[1]Lists and Calcs (Hidden)'!$M$12:$Q$16,MATCH('[1]6. Risk Register Integration'!AB136,'[1]Lists and Calcs (Hidden)'!$K$12:$K$16,0),MATCH('[1]6. Risk Register Integration'!AC136,'[1]Lists and Calcs (Hidden)'!$M$10:$Q$10,0)),INDEX('[1]Lists and Calcs (Hidden)'!$Z$12:$AD$16,MATCH('[1]6. Risk Register Integration'!AB136,'[1]Lists and Calcs (Hidden)'!$X$12:$X$16,0),MATCH('[1]6. Risk Register Integration'!AC136,'[1]Lists and Calcs (Hidden)'!$Z$10:$AD$10,0))),"")</f>
        <v/>
      </c>
      <c r="AE136" s="54"/>
      <c r="AF136" s="4"/>
      <c r="AG136" s="4"/>
    </row>
    <row r="137" spans="2:33" ht="330" customHeight="1" x14ac:dyDescent="0.2">
      <c r="B137" s="107"/>
      <c r="C137" s="89" t="str">
        <f>IF('[1]Lists and Calcs (Hidden)'!AJ161="","",
                    IF(INDEX('[1]5. Assess Risks'!$B$6:$B$704,MATCH('[1]Lists and Calcs (Hidden)'!AJ161,'[1]Lists and Calcs (Hidden)'!$AB$34:$AB$732,0))="","",
                                    INDEX('[1]5. Assess Risks'!$B$6:$B$704,MATCH('[1]Lists and Calcs (Hidden)'!AJ161,'[1]Lists and Calcs (Hidden)'!$AB$34:$AB$732,0))
))</f>
        <v/>
      </c>
      <c r="D137" s="90" t="str">
        <f>IF(C137="", "", '[1]2. Prepare'!$E$6)</f>
        <v/>
      </c>
      <c r="E137" s="91"/>
      <c r="F137" s="91"/>
      <c r="G137" s="91"/>
      <c r="H137" s="91"/>
      <c r="I137" s="89" t="str">
        <f>IF('[1]Lists and Calcs (Hidden)'!AJ161="","",
                    IF(INDEX('[1]5. Assess Risks'!$D$6:$D$704,MATCH('[1]Lists and Calcs (Hidden)'!AJ161,'[1]Lists and Calcs (Hidden)'!$AB$34:$AB$732,0))="","",
                                    INDEX('[1]5. Assess Risks'!$D$6:$D$704,MATCH('[1]Lists and Calcs (Hidden)'!AJ161,'[1]Lists and Calcs (Hidden)'!$AB$34:$AB$732,0))
))</f>
        <v/>
      </c>
      <c r="J137" s="91"/>
      <c r="K137" s="91"/>
      <c r="L137" s="91"/>
      <c r="M137" s="91"/>
      <c r="N137" s="91"/>
      <c r="O137" s="91"/>
      <c r="P137" s="92" t="str">
        <f>IF('[1]Lists and Calcs (Hidden)'!AJ161="","",
                    IF(INDEX('[1]5. Assess Risks'!$G$6:$G$704,MATCH('[1]Lists and Calcs (Hidden)'!AJ161,'[1]Lists and Calcs (Hidden)'!$AB$34:$AB$732,0))="","",
                                    INDEX('[1]5. Assess Risks'!$G$6:$G$704,MATCH('[1]Lists and Calcs (Hidden)'!AJ161,'[1]Lists and Calcs (Hidden)'!$AB$34:$AB$732,0))
))</f>
        <v/>
      </c>
      <c r="Q137" s="92" t="str">
        <f>IF('[1]Lists and Calcs (Hidden)'!AJ161="","",
                    IF(INDEX('[1]5. Assess Risks'!$H$6:$H$704,MATCH('[1]Lists and Calcs (Hidden)'!AJ161,'[1]Lists and Calcs (Hidden)'!$AB$34:$AB$732,0))="","",
                                    INDEX('[1]5. Assess Risks'!$H$6:$H$704,MATCH('[1]Lists and Calcs (Hidden)'!AJ161,'[1]Lists and Calcs (Hidden)'!$AB$34:$AB$732,0))
))</f>
        <v/>
      </c>
      <c r="R137" s="93" t="str">
        <f>IFERROR(IF('[1]2. Prepare'!$O$50="Quantitative",INDEX('[1]Lists and Calcs (Hidden)'!$M$12:$Q$16,MATCH('[1]6. Risk Register Integration'!P137,'[1]Lists and Calcs (Hidden)'!$K$12:$K$16,0),MATCH('[1]6. Risk Register Integration'!Q137,'[1]Lists and Calcs (Hidden)'!$M$10:$Q$10,0)),INDEX('[1]Lists and Calcs (Hidden)'!$Z$12:$AD$16,MATCH('[1]6. Risk Register Integration'!P137,'[1]Lists and Calcs (Hidden)'!$X$12:$X$16,0),MATCH('[1]6. Risk Register Integration'!Q137,'[1]Lists and Calcs (Hidden)'!$Z$10:$AD$10,0))),"")</f>
        <v/>
      </c>
      <c r="S137" s="94" t="str">
        <f>IF('[1]Lists and Calcs (Hidden)'!AJ161="","",
                    IF(INDEX('[1]5. Assess Risks'!$J$6:$J$704,MATCH('[1]Lists and Calcs (Hidden)'!AJ161,'[1]Lists and Calcs (Hidden)'!$AB$34:$AB$732,0))="","",
                                    INDEX('[1]5. Assess Risks'!$J$6:$J$704,MATCH('[1]Lists and Calcs (Hidden)'!AJ161,'[1]Lists and Calcs (Hidden)'!$AB$34:$AB$732,0))
))</f>
        <v/>
      </c>
      <c r="T137" s="102"/>
      <c r="U137" s="105"/>
      <c r="V137" s="106"/>
      <c r="W137" s="105"/>
      <c r="X137" s="105"/>
      <c r="Y137" s="89" t="str">
        <f>IF('[1]Lists and Calcs (Hidden)'!AJ161="","",
                    IF(INDEX('[1]5. Assess Risks'!$L$6:$L$704,MATCH('[1]Lists and Calcs (Hidden)'!AJ161,'[1]Lists and Calcs (Hidden)'!$AB$34:$AB$732,0))="","",
                                    INDEX('[1]5. Assess Risks'!$L$6:$L$704,MATCH('[1]Lists and Calcs (Hidden)'!AJ161,'[1]Lists and Calcs (Hidden)'!$AB$34:$AB$732,0))
))</f>
        <v/>
      </c>
      <c r="Z137" s="95"/>
      <c r="AA137" s="96"/>
      <c r="AB137" s="85"/>
      <c r="AC137" s="86"/>
      <c r="AD137" s="87" t="str">
        <f>IFERROR(IF('[1]2. Prepare'!$O$50="Quantitative",INDEX('[1]Lists and Calcs (Hidden)'!$M$12:$Q$16,MATCH('[1]6. Risk Register Integration'!AB137,'[1]Lists and Calcs (Hidden)'!$K$12:$K$16,0),MATCH('[1]6. Risk Register Integration'!AC137,'[1]Lists and Calcs (Hidden)'!$M$10:$Q$10,0)),INDEX('[1]Lists and Calcs (Hidden)'!$Z$12:$AD$16,MATCH('[1]6. Risk Register Integration'!AB137,'[1]Lists and Calcs (Hidden)'!$X$12:$X$16,0),MATCH('[1]6. Risk Register Integration'!AC137,'[1]Lists and Calcs (Hidden)'!$Z$10:$AD$10,0))),"")</f>
        <v/>
      </c>
      <c r="AE137" s="54"/>
      <c r="AF137" s="4"/>
      <c r="AG137" s="4"/>
    </row>
    <row r="138" spans="2:33" ht="330" customHeight="1" x14ac:dyDescent="0.2">
      <c r="B138" s="108"/>
      <c r="C138" s="98" t="str">
        <f>IF('[1]Lists and Calcs (Hidden)'!AJ162="","",
                    IF(INDEX('[1]5. Assess Risks'!$B$6:$B$704,MATCH('[1]Lists and Calcs (Hidden)'!AJ162,'[1]Lists and Calcs (Hidden)'!$AB$34:$AB$732,0))="","",
                                    INDEX('[1]5. Assess Risks'!$B$6:$B$704,MATCH('[1]Lists and Calcs (Hidden)'!AJ162,'[1]Lists and Calcs (Hidden)'!$AB$34:$AB$732,0))
))</f>
        <v/>
      </c>
      <c r="D138" s="90" t="str">
        <f>IF(C138="", "", '[1]2. Prepare'!$E$6)</f>
        <v/>
      </c>
      <c r="E138" s="91"/>
      <c r="F138" s="91"/>
      <c r="G138" s="91"/>
      <c r="H138" s="91"/>
      <c r="I138" s="98" t="str">
        <f>IF('[1]Lists and Calcs (Hidden)'!AJ162="","",
                    IF(INDEX('[1]5. Assess Risks'!$D$6:$D$704,MATCH('[1]Lists and Calcs (Hidden)'!AJ162,'[1]Lists and Calcs (Hidden)'!$AB$34:$AB$732,0))="","",
                                    INDEX('[1]5. Assess Risks'!$D$6:$D$704,MATCH('[1]Lists and Calcs (Hidden)'!AJ162,'[1]Lists and Calcs (Hidden)'!$AB$34:$AB$732,0))
))</f>
        <v/>
      </c>
      <c r="J138" s="91"/>
      <c r="K138" s="91"/>
      <c r="L138" s="91"/>
      <c r="M138" s="91"/>
      <c r="N138" s="91"/>
      <c r="O138" s="91"/>
      <c r="P138" s="99" t="str">
        <f>IF('[1]Lists and Calcs (Hidden)'!AJ162="","",
                    IF(INDEX('[1]5. Assess Risks'!$G$6:$G$704,MATCH('[1]Lists and Calcs (Hidden)'!AJ162,'[1]Lists and Calcs (Hidden)'!$AB$34:$AB$732,0))="","",
                                    INDEX('[1]5. Assess Risks'!$G$6:$G$704,MATCH('[1]Lists and Calcs (Hidden)'!AJ162,'[1]Lists and Calcs (Hidden)'!$AB$34:$AB$732,0))
))</f>
        <v/>
      </c>
      <c r="Q138" s="99" t="str">
        <f>IF('[1]Lists and Calcs (Hidden)'!AJ162="","",
                    IF(INDEX('[1]5. Assess Risks'!$H$6:$H$704,MATCH('[1]Lists and Calcs (Hidden)'!AJ162,'[1]Lists and Calcs (Hidden)'!$AB$34:$AB$732,0))="","",
                                    INDEX('[1]5. Assess Risks'!$H$6:$H$704,MATCH('[1]Lists and Calcs (Hidden)'!AJ162,'[1]Lists and Calcs (Hidden)'!$AB$34:$AB$732,0))
))</f>
        <v/>
      </c>
      <c r="R138" s="100" t="str">
        <f>IFERROR(IF('[1]2. Prepare'!$O$50="Quantitative",INDEX('[1]Lists and Calcs (Hidden)'!$M$12:$Q$16,MATCH('[1]6. Risk Register Integration'!P138,'[1]Lists and Calcs (Hidden)'!$K$12:$K$16,0),MATCH('[1]6. Risk Register Integration'!Q138,'[1]Lists and Calcs (Hidden)'!$M$10:$Q$10,0)),INDEX('[1]Lists and Calcs (Hidden)'!$Z$12:$AD$16,MATCH('[1]6. Risk Register Integration'!P138,'[1]Lists and Calcs (Hidden)'!$X$12:$X$16,0),MATCH('[1]6. Risk Register Integration'!Q138,'[1]Lists and Calcs (Hidden)'!$Z$10:$AD$10,0))),"")</f>
        <v/>
      </c>
      <c r="S138" s="101" t="str">
        <f>IF('[1]Lists and Calcs (Hidden)'!AJ162="","",
                    IF(INDEX('[1]5. Assess Risks'!$J$6:$J$704,MATCH('[1]Lists and Calcs (Hidden)'!AJ162,'[1]Lists and Calcs (Hidden)'!$AB$34:$AB$732,0))="","",
                                    INDEX('[1]5. Assess Risks'!$J$6:$J$704,MATCH('[1]Lists and Calcs (Hidden)'!AJ162,'[1]Lists and Calcs (Hidden)'!$AB$34:$AB$732,0))
))</f>
        <v/>
      </c>
      <c r="T138" s="102"/>
      <c r="U138" s="105"/>
      <c r="V138" s="106"/>
      <c r="W138" s="105"/>
      <c r="X138" s="105"/>
      <c r="Y138" s="98" t="str">
        <f>IF('[1]Lists and Calcs (Hidden)'!AJ162="","",
                    IF(INDEX('[1]5. Assess Risks'!$L$6:$L$704,MATCH('[1]Lists and Calcs (Hidden)'!AJ162,'[1]Lists and Calcs (Hidden)'!$AB$34:$AB$732,0))="","",
                                    INDEX('[1]5. Assess Risks'!$L$6:$L$704,MATCH('[1]Lists and Calcs (Hidden)'!AJ162,'[1]Lists and Calcs (Hidden)'!$AB$34:$AB$732,0))
))</f>
        <v/>
      </c>
      <c r="Z138" s="95"/>
      <c r="AA138" s="96"/>
      <c r="AB138" s="85"/>
      <c r="AC138" s="86"/>
      <c r="AD138" s="87" t="str">
        <f>IFERROR(IF('[1]2. Prepare'!$O$50="Quantitative",INDEX('[1]Lists and Calcs (Hidden)'!$M$12:$Q$16,MATCH('[1]6. Risk Register Integration'!AB138,'[1]Lists and Calcs (Hidden)'!$K$12:$K$16,0),MATCH('[1]6. Risk Register Integration'!AC138,'[1]Lists and Calcs (Hidden)'!$M$10:$Q$10,0)),INDEX('[1]Lists and Calcs (Hidden)'!$Z$12:$AD$16,MATCH('[1]6. Risk Register Integration'!AB138,'[1]Lists and Calcs (Hidden)'!$X$12:$X$16,0),MATCH('[1]6. Risk Register Integration'!AC138,'[1]Lists and Calcs (Hidden)'!$Z$10:$AD$10,0))),"")</f>
        <v/>
      </c>
      <c r="AE138" s="54"/>
      <c r="AF138" s="4"/>
      <c r="AG138" s="4"/>
    </row>
    <row r="139" spans="2:33" ht="330" customHeight="1" x14ac:dyDescent="0.2">
      <c r="B139" s="107"/>
      <c r="C139" s="89" t="str">
        <f>IF('[1]Lists and Calcs (Hidden)'!AJ163="","",
                    IF(INDEX('[1]5. Assess Risks'!$B$6:$B$704,MATCH('[1]Lists and Calcs (Hidden)'!AJ163,'[1]Lists and Calcs (Hidden)'!$AB$34:$AB$732,0))="","",
                                    INDEX('[1]5. Assess Risks'!$B$6:$B$704,MATCH('[1]Lists and Calcs (Hidden)'!AJ163,'[1]Lists and Calcs (Hidden)'!$AB$34:$AB$732,0))
))</f>
        <v/>
      </c>
      <c r="D139" s="90" t="str">
        <f>IF(C139="", "", '[1]2. Prepare'!$E$6)</f>
        <v/>
      </c>
      <c r="E139" s="91"/>
      <c r="F139" s="91"/>
      <c r="G139" s="91"/>
      <c r="H139" s="91"/>
      <c r="I139" s="89" t="str">
        <f>IF('[1]Lists and Calcs (Hidden)'!AJ163="","",
                    IF(INDEX('[1]5. Assess Risks'!$D$6:$D$704,MATCH('[1]Lists and Calcs (Hidden)'!AJ163,'[1]Lists and Calcs (Hidden)'!$AB$34:$AB$732,0))="","",
                                    INDEX('[1]5. Assess Risks'!$D$6:$D$704,MATCH('[1]Lists and Calcs (Hidden)'!AJ163,'[1]Lists and Calcs (Hidden)'!$AB$34:$AB$732,0))
))</f>
        <v/>
      </c>
      <c r="J139" s="91"/>
      <c r="K139" s="91"/>
      <c r="L139" s="91"/>
      <c r="M139" s="91"/>
      <c r="N139" s="91"/>
      <c r="O139" s="91"/>
      <c r="P139" s="92" t="str">
        <f>IF('[1]Lists and Calcs (Hidden)'!AJ163="","",
                    IF(INDEX('[1]5. Assess Risks'!$G$6:$G$704,MATCH('[1]Lists and Calcs (Hidden)'!AJ163,'[1]Lists and Calcs (Hidden)'!$AB$34:$AB$732,0))="","",
                                    INDEX('[1]5. Assess Risks'!$G$6:$G$704,MATCH('[1]Lists and Calcs (Hidden)'!AJ163,'[1]Lists and Calcs (Hidden)'!$AB$34:$AB$732,0))
))</f>
        <v/>
      </c>
      <c r="Q139" s="92" t="str">
        <f>IF('[1]Lists and Calcs (Hidden)'!AJ163="","",
                    IF(INDEX('[1]5. Assess Risks'!$H$6:$H$704,MATCH('[1]Lists and Calcs (Hidden)'!AJ163,'[1]Lists and Calcs (Hidden)'!$AB$34:$AB$732,0))="","",
                                    INDEX('[1]5. Assess Risks'!$H$6:$H$704,MATCH('[1]Lists and Calcs (Hidden)'!AJ163,'[1]Lists and Calcs (Hidden)'!$AB$34:$AB$732,0))
))</f>
        <v/>
      </c>
      <c r="R139" s="93" t="str">
        <f>IFERROR(IF('[1]2. Prepare'!$O$50="Quantitative",INDEX('[1]Lists and Calcs (Hidden)'!$M$12:$Q$16,MATCH('[1]6. Risk Register Integration'!P139,'[1]Lists and Calcs (Hidden)'!$K$12:$K$16,0),MATCH('[1]6. Risk Register Integration'!Q139,'[1]Lists and Calcs (Hidden)'!$M$10:$Q$10,0)),INDEX('[1]Lists and Calcs (Hidden)'!$Z$12:$AD$16,MATCH('[1]6. Risk Register Integration'!P139,'[1]Lists and Calcs (Hidden)'!$X$12:$X$16,0),MATCH('[1]6. Risk Register Integration'!Q139,'[1]Lists and Calcs (Hidden)'!$Z$10:$AD$10,0))),"")</f>
        <v/>
      </c>
      <c r="S139" s="94" t="str">
        <f>IF('[1]Lists and Calcs (Hidden)'!AJ163="","",
                    IF(INDEX('[1]5. Assess Risks'!$J$6:$J$704,MATCH('[1]Lists and Calcs (Hidden)'!AJ163,'[1]Lists and Calcs (Hidden)'!$AB$34:$AB$732,0))="","",
                                    INDEX('[1]5. Assess Risks'!$J$6:$J$704,MATCH('[1]Lists and Calcs (Hidden)'!AJ163,'[1]Lists and Calcs (Hidden)'!$AB$34:$AB$732,0))
))</f>
        <v/>
      </c>
      <c r="T139" s="102"/>
      <c r="U139" s="105"/>
      <c r="V139" s="106"/>
      <c r="W139" s="105"/>
      <c r="X139" s="105"/>
      <c r="Y139" s="89" t="str">
        <f>IF('[1]Lists and Calcs (Hidden)'!AJ163="","",
                    IF(INDEX('[1]5. Assess Risks'!$L$6:$L$704,MATCH('[1]Lists and Calcs (Hidden)'!AJ163,'[1]Lists and Calcs (Hidden)'!$AB$34:$AB$732,0))="","",
                                    INDEX('[1]5. Assess Risks'!$L$6:$L$704,MATCH('[1]Lists and Calcs (Hidden)'!AJ163,'[1]Lists and Calcs (Hidden)'!$AB$34:$AB$732,0))
))</f>
        <v/>
      </c>
      <c r="Z139" s="95"/>
      <c r="AA139" s="96"/>
      <c r="AB139" s="85"/>
      <c r="AC139" s="86"/>
      <c r="AD139" s="87" t="str">
        <f>IFERROR(IF('[1]2. Prepare'!$O$50="Quantitative",INDEX('[1]Lists and Calcs (Hidden)'!$M$12:$Q$16,MATCH('[1]6. Risk Register Integration'!AB139,'[1]Lists and Calcs (Hidden)'!$K$12:$K$16,0),MATCH('[1]6. Risk Register Integration'!AC139,'[1]Lists and Calcs (Hidden)'!$M$10:$Q$10,0)),INDEX('[1]Lists and Calcs (Hidden)'!$Z$12:$AD$16,MATCH('[1]6. Risk Register Integration'!AB139,'[1]Lists and Calcs (Hidden)'!$X$12:$X$16,0),MATCH('[1]6. Risk Register Integration'!AC139,'[1]Lists and Calcs (Hidden)'!$Z$10:$AD$10,0))),"")</f>
        <v/>
      </c>
      <c r="AE139" s="54"/>
      <c r="AF139" s="4"/>
      <c r="AG139" s="4"/>
    </row>
    <row r="140" spans="2:33" ht="330" customHeight="1" x14ac:dyDescent="0.2">
      <c r="B140" s="107"/>
      <c r="C140" s="98" t="str">
        <f>IF('[1]Lists and Calcs (Hidden)'!AJ164="","",
                    IF(INDEX('[1]5. Assess Risks'!$B$6:$B$704,MATCH('[1]Lists and Calcs (Hidden)'!AJ164,'[1]Lists and Calcs (Hidden)'!$AB$34:$AB$732,0))="","",
                                    INDEX('[1]5. Assess Risks'!$B$6:$B$704,MATCH('[1]Lists and Calcs (Hidden)'!AJ164,'[1]Lists and Calcs (Hidden)'!$AB$34:$AB$732,0))
))</f>
        <v/>
      </c>
      <c r="D140" s="90" t="str">
        <f>IF(C140="", "", '[1]2. Prepare'!$E$6)</f>
        <v/>
      </c>
      <c r="E140" s="91"/>
      <c r="F140" s="91"/>
      <c r="G140" s="91"/>
      <c r="H140" s="91"/>
      <c r="I140" s="98" t="str">
        <f>IF('[1]Lists and Calcs (Hidden)'!AJ164="","",
                    IF(INDEX('[1]5. Assess Risks'!$D$6:$D$704,MATCH('[1]Lists and Calcs (Hidden)'!AJ164,'[1]Lists and Calcs (Hidden)'!$AB$34:$AB$732,0))="","",
                                    INDEX('[1]5. Assess Risks'!$D$6:$D$704,MATCH('[1]Lists and Calcs (Hidden)'!AJ164,'[1]Lists and Calcs (Hidden)'!$AB$34:$AB$732,0))
))</f>
        <v/>
      </c>
      <c r="J140" s="91"/>
      <c r="K140" s="91"/>
      <c r="L140" s="91"/>
      <c r="M140" s="91"/>
      <c r="N140" s="91"/>
      <c r="O140" s="91"/>
      <c r="P140" s="99" t="str">
        <f>IF('[1]Lists and Calcs (Hidden)'!AJ164="","",
                    IF(INDEX('[1]5. Assess Risks'!$G$6:$G$704,MATCH('[1]Lists and Calcs (Hidden)'!AJ164,'[1]Lists and Calcs (Hidden)'!$AB$34:$AB$732,0))="","",
                                    INDEX('[1]5. Assess Risks'!$G$6:$G$704,MATCH('[1]Lists and Calcs (Hidden)'!AJ164,'[1]Lists and Calcs (Hidden)'!$AB$34:$AB$732,0))
))</f>
        <v/>
      </c>
      <c r="Q140" s="99" t="str">
        <f>IF('[1]Lists and Calcs (Hidden)'!AJ164="","",
                    IF(INDEX('[1]5. Assess Risks'!$H$6:$H$704,MATCH('[1]Lists and Calcs (Hidden)'!AJ164,'[1]Lists and Calcs (Hidden)'!$AB$34:$AB$732,0))="","",
                                    INDEX('[1]5. Assess Risks'!$H$6:$H$704,MATCH('[1]Lists and Calcs (Hidden)'!AJ164,'[1]Lists and Calcs (Hidden)'!$AB$34:$AB$732,0))
))</f>
        <v/>
      </c>
      <c r="R140" s="100" t="str">
        <f>IFERROR(IF('[1]2. Prepare'!$O$50="Quantitative",INDEX('[1]Lists and Calcs (Hidden)'!$M$12:$Q$16,MATCH('[1]6. Risk Register Integration'!P140,'[1]Lists and Calcs (Hidden)'!$K$12:$K$16,0),MATCH('[1]6. Risk Register Integration'!Q140,'[1]Lists and Calcs (Hidden)'!$M$10:$Q$10,0)),INDEX('[1]Lists and Calcs (Hidden)'!$Z$12:$AD$16,MATCH('[1]6. Risk Register Integration'!P140,'[1]Lists and Calcs (Hidden)'!$X$12:$X$16,0),MATCH('[1]6. Risk Register Integration'!Q140,'[1]Lists and Calcs (Hidden)'!$Z$10:$AD$10,0))),"")</f>
        <v/>
      </c>
      <c r="S140" s="101" t="str">
        <f>IF('[1]Lists and Calcs (Hidden)'!AJ164="","",
                    IF(INDEX('[1]5. Assess Risks'!$J$6:$J$704,MATCH('[1]Lists and Calcs (Hidden)'!AJ164,'[1]Lists and Calcs (Hidden)'!$AB$34:$AB$732,0))="","",
                                    INDEX('[1]5. Assess Risks'!$J$6:$J$704,MATCH('[1]Lists and Calcs (Hidden)'!AJ164,'[1]Lists and Calcs (Hidden)'!$AB$34:$AB$732,0))
))</f>
        <v/>
      </c>
      <c r="T140" s="102"/>
      <c r="U140" s="105"/>
      <c r="V140" s="106"/>
      <c r="W140" s="105"/>
      <c r="X140" s="105"/>
      <c r="Y140" s="98" t="str">
        <f>IF('[1]Lists and Calcs (Hidden)'!AJ164="","",
                    IF(INDEX('[1]5. Assess Risks'!$L$6:$L$704,MATCH('[1]Lists and Calcs (Hidden)'!AJ164,'[1]Lists and Calcs (Hidden)'!$AB$34:$AB$732,0))="","",
                                    INDEX('[1]5. Assess Risks'!$L$6:$L$704,MATCH('[1]Lists and Calcs (Hidden)'!AJ164,'[1]Lists and Calcs (Hidden)'!$AB$34:$AB$732,0))
))</f>
        <v/>
      </c>
      <c r="Z140" s="95"/>
      <c r="AA140" s="96"/>
      <c r="AB140" s="85"/>
      <c r="AC140" s="86"/>
      <c r="AD140" s="87" t="str">
        <f>IFERROR(IF('[1]2. Prepare'!$O$50="Quantitative",INDEX('[1]Lists and Calcs (Hidden)'!$M$12:$Q$16,MATCH('[1]6. Risk Register Integration'!AB140,'[1]Lists and Calcs (Hidden)'!$K$12:$K$16,0),MATCH('[1]6. Risk Register Integration'!AC140,'[1]Lists and Calcs (Hidden)'!$M$10:$Q$10,0)),INDEX('[1]Lists and Calcs (Hidden)'!$Z$12:$AD$16,MATCH('[1]6. Risk Register Integration'!AB140,'[1]Lists and Calcs (Hidden)'!$X$12:$X$16,0),MATCH('[1]6. Risk Register Integration'!AC140,'[1]Lists and Calcs (Hidden)'!$Z$10:$AD$10,0))),"")</f>
        <v/>
      </c>
      <c r="AE140" s="54"/>
      <c r="AF140" s="4"/>
      <c r="AG140" s="4"/>
    </row>
    <row r="141" spans="2:33" ht="330" customHeight="1" x14ac:dyDescent="0.2">
      <c r="B141" s="108"/>
      <c r="C141" s="89" t="str">
        <f>IF('[1]Lists and Calcs (Hidden)'!AJ165="","",
                    IF(INDEX('[1]5. Assess Risks'!$B$6:$B$704,MATCH('[1]Lists and Calcs (Hidden)'!AJ165,'[1]Lists and Calcs (Hidden)'!$AB$34:$AB$732,0))="","",
                                    INDEX('[1]5. Assess Risks'!$B$6:$B$704,MATCH('[1]Lists and Calcs (Hidden)'!AJ165,'[1]Lists and Calcs (Hidden)'!$AB$34:$AB$732,0))
))</f>
        <v/>
      </c>
      <c r="D141" s="90" t="str">
        <f>IF(C141="", "", '[1]2. Prepare'!$E$6)</f>
        <v/>
      </c>
      <c r="E141" s="91"/>
      <c r="F141" s="91"/>
      <c r="G141" s="91"/>
      <c r="H141" s="91"/>
      <c r="I141" s="89" t="str">
        <f>IF('[1]Lists and Calcs (Hidden)'!AJ165="","",
                    IF(INDEX('[1]5. Assess Risks'!$D$6:$D$704,MATCH('[1]Lists and Calcs (Hidden)'!AJ165,'[1]Lists and Calcs (Hidden)'!$AB$34:$AB$732,0))="","",
                                    INDEX('[1]5. Assess Risks'!$D$6:$D$704,MATCH('[1]Lists and Calcs (Hidden)'!AJ165,'[1]Lists and Calcs (Hidden)'!$AB$34:$AB$732,0))
))</f>
        <v/>
      </c>
      <c r="J141" s="91"/>
      <c r="K141" s="91"/>
      <c r="L141" s="91"/>
      <c r="M141" s="91"/>
      <c r="N141" s="91"/>
      <c r="O141" s="91"/>
      <c r="P141" s="92" t="str">
        <f>IF('[1]Lists and Calcs (Hidden)'!AJ165="","",
                    IF(INDEX('[1]5. Assess Risks'!$G$6:$G$704,MATCH('[1]Lists and Calcs (Hidden)'!AJ165,'[1]Lists and Calcs (Hidden)'!$AB$34:$AB$732,0))="","",
                                    INDEX('[1]5. Assess Risks'!$G$6:$G$704,MATCH('[1]Lists and Calcs (Hidden)'!AJ165,'[1]Lists and Calcs (Hidden)'!$AB$34:$AB$732,0))
))</f>
        <v/>
      </c>
      <c r="Q141" s="92" t="str">
        <f>IF('[1]Lists and Calcs (Hidden)'!AJ165="","",
                    IF(INDEX('[1]5. Assess Risks'!$H$6:$H$704,MATCH('[1]Lists and Calcs (Hidden)'!AJ165,'[1]Lists and Calcs (Hidden)'!$AB$34:$AB$732,0))="","",
                                    INDEX('[1]5. Assess Risks'!$H$6:$H$704,MATCH('[1]Lists and Calcs (Hidden)'!AJ165,'[1]Lists and Calcs (Hidden)'!$AB$34:$AB$732,0))
))</f>
        <v/>
      </c>
      <c r="R141" s="93" t="str">
        <f>IFERROR(IF('[1]2. Prepare'!$O$50="Quantitative",INDEX('[1]Lists and Calcs (Hidden)'!$M$12:$Q$16,MATCH('[1]6. Risk Register Integration'!P141,'[1]Lists and Calcs (Hidden)'!$K$12:$K$16,0),MATCH('[1]6. Risk Register Integration'!Q141,'[1]Lists and Calcs (Hidden)'!$M$10:$Q$10,0)),INDEX('[1]Lists and Calcs (Hidden)'!$Z$12:$AD$16,MATCH('[1]6. Risk Register Integration'!P141,'[1]Lists and Calcs (Hidden)'!$X$12:$X$16,0),MATCH('[1]6. Risk Register Integration'!Q141,'[1]Lists and Calcs (Hidden)'!$Z$10:$AD$10,0))),"")</f>
        <v/>
      </c>
      <c r="S141" s="94" t="str">
        <f>IF('[1]Lists and Calcs (Hidden)'!AJ165="","",
                    IF(INDEX('[1]5. Assess Risks'!$J$6:$J$704,MATCH('[1]Lists and Calcs (Hidden)'!AJ165,'[1]Lists and Calcs (Hidden)'!$AB$34:$AB$732,0))="","",
                                    INDEX('[1]5. Assess Risks'!$J$6:$J$704,MATCH('[1]Lists and Calcs (Hidden)'!AJ165,'[1]Lists and Calcs (Hidden)'!$AB$34:$AB$732,0))
))</f>
        <v/>
      </c>
      <c r="T141" s="102"/>
      <c r="U141" s="105"/>
      <c r="V141" s="106"/>
      <c r="W141" s="105"/>
      <c r="X141" s="105"/>
      <c r="Y141" s="89" t="str">
        <f>IF('[1]Lists and Calcs (Hidden)'!AJ165="","",
                    IF(INDEX('[1]5. Assess Risks'!$L$6:$L$704,MATCH('[1]Lists and Calcs (Hidden)'!AJ165,'[1]Lists and Calcs (Hidden)'!$AB$34:$AB$732,0))="","",
                                    INDEX('[1]5. Assess Risks'!$L$6:$L$704,MATCH('[1]Lists and Calcs (Hidden)'!AJ165,'[1]Lists and Calcs (Hidden)'!$AB$34:$AB$732,0))
))</f>
        <v/>
      </c>
      <c r="Z141" s="95"/>
      <c r="AA141" s="96"/>
      <c r="AB141" s="85"/>
      <c r="AC141" s="86"/>
      <c r="AD141" s="87" t="str">
        <f>IFERROR(IF('[1]2. Prepare'!$O$50="Quantitative",INDEX('[1]Lists and Calcs (Hidden)'!$M$12:$Q$16,MATCH('[1]6. Risk Register Integration'!AB141,'[1]Lists and Calcs (Hidden)'!$K$12:$K$16,0),MATCH('[1]6. Risk Register Integration'!AC141,'[1]Lists and Calcs (Hidden)'!$M$10:$Q$10,0)),INDEX('[1]Lists and Calcs (Hidden)'!$Z$12:$AD$16,MATCH('[1]6. Risk Register Integration'!AB141,'[1]Lists and Calcs (Hidden)'!$X$12:$X$16,0),MATCH('[1]6. Risk Register Integration'!AC141,'[1]Lists and Calcs (Hidden)'!$Z$10:$AD$10,0))),"")</f>
        <v/>
      </c>
      <c r="AE141" s="54"/>
      <c r="AF141" s="4"/>
      <c r="AG141" s="4"/>
    </row>
    <row r="142" spans="2:33" ht="330" customHeight="1" x14ac:dyDescent="0.2">
      <c r="B142" s="107"/>
      <c r="C142" s="98" t="str">
        <f>IF('[1]Lists and Calcs (Hidden)'!AJ166="","",
                    IF(INDEX('[1]5. Assess Risks'!$B$6:$B$704,MATCH('[1]Lists and Calcs (Hidden)'!AJ166,'[1]Lists and Calcs (Hidden)'!$AB$34:$AB$732,0))="","",
                                    INDEX('[1]5. Assess Risks'!$B$6:$B$704,MATCH('[1]Lists and Calcs (Hidden)'!AJ166,'[1]Lists and Calcs (Hidden)'!$AB$34:$AB$732,0))
))</f>
        <v/>
      </c>
      <c r="D142" s="90" t="str">
        <f>IF(C142="", "", '[1]2. Prepare'!$E$6)</f>
        <v/>
      </c>
      <c r="E142" s="91"/>
      <c r="F142" s="91"/>
      <c r="G142" s="91"/>
      <c r="H142" s="91"/>
      <c r="I142" s="98" t="str">
        <f>IF('[1]Lists and Calcs (Hidden)'!AJ166="","",
                    IF(INDEX('[1]5. Assess Risks'!$D$6:$D$704,MATCH('[1]Lists and Calcs (Hidden)'!AJ166,'[1]Lists and Calcs (Hidden)'!$AB$34:$AB$732,0))="","",
                                    INDEX('[1]5. Assess Risks'!$D$6:$D$704,MATCH('[1]Lists and Calcs (Hidden)'!AJ166,'[1]Lists and Calcs (Hidden)'!$AB$34:$AB$732,0))
))</f>
        <v/>
      </c>
      <c r="J142" s="91"/>
      <c r="K142" s="91"/>
      <c r="L142" s="91"/>
      <c r="M142" s="91"/>
      <c r="N142" s="91"/>
      <c r="O142" s="91"/>
      <c r="P142" s="99" t="str">
        <f>IF('[1]Lists and Calcs (Hidden)'!AJ166="","",
                    IF(INDEX('[1]5. Assess Risks'!$G$6:$G$704,MATCH('[1]Lists and Calcs (Hidden)'!AJ166,'[1]Lists and Calcs (Hidden)'!$AB$34:$AB$732,0))="","",
                                    INDEX('[1]5. Assess Risks'!$G$6:$G$704,MATCH('[1]Lists and Calcs (Hidden)'!AJ166,'[1]Lists and Calcs (Hidden)'!$AB$34:$AB$732,0))
))</f>
        <v/>
      </c>
      <c r="Q142" s="99" t="str">
        <f>IF('[1]Lists and Calcs (Hidden)'!AJ166="","",
                    IF(INDEX('[1]5. Assess Risks'!$H$6:$H$704,MATCH('[1]Lists and Calcs (Hidden)'!AJ166,'[1]Lists and Calcs (Hidden)'!$AB$34:$AB$732,0))="","",
                                    INDEX('[1]5. Assess Risks'!$H$6:$H$704,MATCH('[1]Lists and Calcs (Hidden)'!AJ166,'[1]Lists and Calcs (Hidden)'!$AB$34:$AB$732,0))
))</f>
        <v/>
      </c>
      <c r="R142" s="100" t="str">
        <f>IFERROR(IF('[1]2. Prepare'!$O$50="Quantitative",INDEX('[1]Lists and Calcs (Hidden)'!$M$12:$Q$16,MATCH('[1]6. Risk Register Integration'!P142,'[1]Lists and Calcs (Hidden)'!$K$12:$K$16,0),MATCH('[1]6. Risk Register Integration'!Q142,'[1]Lists and Calcs (Hidden)'!$M$10:$Q$10,0)),INDEX('[1]Lists and Calcs (Hidden)'!$Z$12:$AD$16,MATCH('[1]6. Risk Register Integration'!P142,'[1]Lists and Calcs (Hidden)'!$X$12:$X$16,0),MATCH('[1]6. Risk Register Integration'!Q142,'[1]Lists and Calcs (Hidden)'!$Z$10:$AD$10,0))),"")</f>
        <v/>
      </c>
      <c r="S142" s="101" t="str">
        <f>IF('[1]Lists and Calcs (Hidden)'!AJ166="","",
                    IF(INDEX('[1]5. Assess Risks'!$J$6:$J$704,MATCH('[1]Lists and Calcs (Hidden)'!AJ166,'[1]Lists and Calcs (Hidden)'!$AB$34:$AB$732,0))="","",
                                    INDEX('[1]5. Assess Risks'!$J$6:$J$704,MATCH('[1]Lists and Calcs (Hidden)'!AJ166,'[1]Lists and Calcs (Hidden)'!$AB$34:$AB$732,0))
))</f>
        <v/>
      </c>
      <c r="T142" s="102"/>
      <c r="U142" s="105"/>
      <c r="V142" s="106"/>
      <c r="W142" s="105"/>
      <c r="X142" s="105"/>
      <c r="Y142" s="98" t="str">
        <f>IF('[1]Lists and Calcs (Hidden)'!AJ166="","",
                    IF(INDEX('[1]5. Assess Risks'!$L$6:$L$704,MATCH('[1]Lists and Calcs (Hidden)'!AJ166,'[1]Lists and Calcs (Hidden)'!$AB$34:$AB$732,0))="","",
                                    INDEX('[1]5. Assess Risks'!$L$6:$L$704,MATCH('[1]Lists and Calcs (Hidden)'!AJ166,'[1]Lists and Calcs (Hidden)'!$AB$34:$AB$732,0))
))</f>
        <v/>
      </c>
      <c r="Z142" s="95"/>
      <c r="AA142" s="96"/>
      <c r="AB142" s="85"/>
      <c r="AC142" s="86"/>
      <c r="AD142" s="87" t="str">
        <f>IFERROR(IF('[1]2. Prepare'!$O$50="Quantitative",INDEX('[1]Lists and Calcs (Hidden)'!$M$12:$Q$16,MATCH('[1]6. Risk Register Integration'!AB142,'[1]Lists and Calcs (Hidden)'!$K$12:$K$16,0),MATCH('[1]6. Risk Register Integration'!AC142,'[1]Lists and Calcs (Hidden)'!$M$10:$Q$10,0)),INDEX('[1]Lists and Calcs (Hidden)'!$Z$12:$AD$16,MATCH('[1]6. Risk Register Integration'!AB142,'[1]Lists and Calcs (Hidden)'!$X$12:$X$16,0),MATCH('[1]6. Risk Register Integration'!AC142,'[1]Lists and Calcs (Hidden)'!$Z$10:$AD$10,0))),"")</f>
        <v/>
      </c>
      <c r="AE142" s="54"/>
      <c r="AF142" s="4"/>
      <c r="AG142" s="4"/>
    </row>
    <row r="143" spans="2:33" ht="330" customHeight="1" x14ac:dyDescent="0.2">
      <c r="B143" s="107"/>
      <c r="C143" s="89" t="str">
        <f>IF('[1]Lists and Calcs (Hidden)'!AJ167="","",
                    IF(INDEX('[1]5. Assess Risks'!$B$6:$B$704,MATCH('[1]Lists and Calcs (Hidden)'!AJ167,'[1]Lists and Calcs (Hidden)'!$AB$34:$AB$732,0))="","",
                                    INDEX('[1]5. Assess Risks'!$B$6:$B$704,MATCH('[1]Lists and Calcs (Hidden)'!AJ167,'[1]Lists and Calcs (Hidden)'!$AB$34:$AB$732,0))
))</f>
        <v/>
      </c>
      <c r="D143" s="90" t="str">
        <f>IF(C143="", "", '[1]2. Prepare'!$E$6)</f>
        <v/>
      </c>
      <c r="E143" s="91"/>
      <c r="F143" s="91"/>
      <c r="G143" s="91"/>
      <c r="H143" s="91"/>
      <c r="I143" s="89" t="str">
        <f>IF('[1]Lists and Calcs (Hidden)'!AJ167="","",
                    IF(INDEX('[1]5. Assess Risks'!$D$6:$D$704,MATCH('[1]Lists and Calcs (Hidden)'!AJ167,'[1]Lists and Calcs (Hidden)'!$AB$34:$AB$732,0))="","",
                                    INDEX('[1]5. Assess Risks'!$D$6:$D$704,MATCH('[1]Lists and Calcs (Hidden)'!AJ167,'[1]Lists and Calcs (Hidden)'!$AB$34:$AB$732,0))
))</f>
        <v/>
      </c>
      <c r="J143" s="91"/>
      <c r="K143" s="91"/>
      <c r="L143" s="91"/>
      <c r="M143" s="91"/>
      <c r="N143" s="91"/>
      <c r="O143" s="91"/>
      <c r="P143" s="92" t="str">
        <f>IF('[1]Lists and Calcs (Hidden)'!AJ167="","",
                    IF(INDEX('[1]5. Assess Risks'!$G$6:$G$704,MATCH('[1]Lists and Calcs (Hidden)'!AJ167,'[1]Lists and Calcs (Hidden)'!$AB$34:$AB$732,0))="","",
                                    INDEX('[1]5. Assess Risks'!$G$6:$G$704,MATCH('[1]Lists and Calcs (Hidden)'!AJ167,'[1]Lists and Calcs (Hidden)'!$AB$34:$AB$732,0))
))</f>
        <v/>
      </c>
      <c r="Q143" s="92" t="str">
        <f>IF('[1]Lists and Calcs (Hidden)'!AJ167="","",
                    IF(INDEX('[1]5. Assess Risks'!$H$6:$H$704,MATCH('[1]Lists and Calcs (Hidden)'!AJ167,'[1]Lists and Calcs (Hidden)'!$AB$34:$AB$732,0))="","",
                                    INDEX('[1]5. Assess Risks'!$H$6:$H$704,MATCH('[1]Lists and Calcs (Hidden)'!AJ167,'[1]Lists and Calcs (Hidden)'!$AB$34:$AB$732,0))
))</f>
        <v/>
      </c>
      <c r="R143" s="93" t="str">
        <f>IFERROR(IF('[1]2. Prepare'!$O$50="Quantitative",INDEX('[1]Lists and Calcs (Hidden)'!$M$12:$Q$16,MATCH('[1]6. Risk Register Integration'!P143,'[1]Lists and Calcs (Hidden)'!$K$12:$K$16,0),MATCH('[1]6. Risk Register Integration'!Q143,'[1]Lists and Calcs (Hidden)'!$M$10:$Q$10,0)),INDEX('[1]Lists and Calcs (Hidden)'!$Z$12:$AD$16,MATCH('[1]6. Risk Register Integration'!P143,'[1]Lists and Calcs (Hidden)'!$X$12:$X$16,0),MATCH('[1]6. Risk Register Integration'!Q143,'[1]Lists and Calcs (Hidden)'!$Z$10:$AD$10,0))),"")</f>
        <v/>
      </c>
      <c r="S143" s="94" t="str">
        <f>IF('[1]Lists and Calcs (Hidden)'!AJ167="","",
                    IF(INDEX('[1]5. Assess Risks'!$J$6:$J$704,MATCH('[1]Lists and Calcs (Hidden)'!AJ167,'[1]Lists and Calcs (Hidden)'!$AB$34:$AB$732,0))="","",
                                    INDEX('[1]5. Assess Risks'!$J$6:$J$704,MATCH('[1]Lists and Calcs (Hidden)'!AJ167,'[1]Lists and Calcs (Hidden)'!$AB$34:$AB$732,0))
))</f>
        <v/>
      </c>
      <c r="T143" s="102"/>
      <c r="U143" s="105"/>
      <c r="V143" s="106"/>
      <c r="W143" s="105"/>
      <c r="X143" s="105"/>
      <c r="Y143" s="89" t="str">
        <f>IF('[1]Lists and Calcs (Hidden)'!AJ167="","",
                    IF(INDEX('[1]5. Assess Risks'!$L$6:$L$704,MATCH('[1]Lists and Calcs (Hidden)'!AJ167,'[1]Lists and Calcs (Hidden)'!$AB$34:$AB$732,0))="","",
                                    INDEX('[1]5. Assess Risks'!$L$6:$L$704,MATCH('[1]Lists and Calcs (Hidden)'!AJ167,'[1]Lists and Calcs (Hidden)'!$AB$34:$AB$732,0))
))</f>
        <v/>
      </c>
      <c r="Z143" s="95"/>
      <c r="AA143" s="96"/>
      <c r="AB143" s="85"/>
      <c r="AC143" s="86"/>
      <c r="AD143" s="87" t="str">
        <f>IFERROR(IF('[1]2. Prepare'!$O$50="Quantitative",INDEX('[1]Lists and Calcs (Hidden)'!$M$12:$Q$16,MATCH('[1]6. Risk Register Integration'!AB143,'[1]Lists and Calcs (Hidden)'!$K$12:$K$16,0),MATCH('[1]6. Risk Register Integration'!AC143,'[1]Lists and Calcs (Hidden)'!$M$10:$Q$10,0)),INDEX('[1]Lists and Calcs (Hidden)'!$Z$12:$AD$16,MATCH('[1]6. Risk Register Integration'!AB143,'[1]Lists and Calcs (Hidden)'!$X$12:$X$16,0),MATCH('[1]6. Risk Register Integration'!AC143,'[1]Lists and Calcs (Hidden)'!$Z$10:$AD$10,0))),"")</f>
        <v/>
      </c>
      <c r="AE143" s="54"/>
      <c r="AF143" s="4"/>
      <c r="AG143" s="4"/>
    </row>
    <row r="144" spans="2:33" ht="330" customHeight="1" x14ac:dyDescent="0.2">
      <c r="B144" s="108"/>
      <c r="C144" s="98" t="str">
        <f>IF('[1]Lists and Calcs (Hidden)'!AJ168="","",
                    IF(INDEX('[1]5. Assess Risks'!$B$6:$B$704,MATCH('[1]Lists and Calcs (Hidden)'!AJ168,'[1]Lists and Calcs (Hidden)'!$AB$34:$AB$732,0))="","",
                                    INDEX('[1]5. Assess Risks'!$B$6:$B$704,MATCH('[1]Lists and Calcs (Hidden)'!AJ168,'[1]Lists and Calcs (Hidden)'!$AB$34:$AB$732,0))
))</f>
        <v/>
      </c>
      <c r="D144" s="90" t="str">
        <f>IF(C144="", "", '[1]2. Prepare'!$E$6)</f>
        <v/>
      </c>
      <c r="E144" s="91"/>
      <c r="F144" s="91"/>
      <c r="G144" s="91"/>
      <c r="H144" s="91"/>
      <c r="I144" s="98" t="str">
        <f>IF('[1]Lists and Calcs (Hidden)'!AJ168="","",
                    IF(INDEX('[1]5. Assess Risks'!$D$6:$D$704,MATCH('[1]Lists and Calcs (Hidden)'!AJ168,'[1]Lists and Calcs (Hidden)'!$AB$34:$AB$732,0))="","",
                                    INDEX('[1]5. Assess Risks'!$D$6:$D$704,MATCH('[1]Lists and Calcs (Hidden)'!AJ168,'[1]Lists and Calcs (Hidden)'!$AB$34:$AB$732,0))
))</f>
        <v/>
      </c>
      <c r="J144" s="91"/>
      <c r="K144" s="91"/>
      <c r="L144" s="91"/>
      <c r="M144" s="91"/>
      <c r="N144" s="91"/>
      <c r="O144" s="91"/>
      <c r="P144" s="99" t="str">
        <f>IF('[1]Lists and Calcs (Hidden)'!AJ168="","",
                    IF(INDEX('[1]5. Assess Risks'!$G$6:$G$704,MATCH('[1]Lists and Calcs (Hidden)'!AJ168,'[1]Lists and Calcs (Hidden)'!$AB$34:$AB$732,0))="","",
                                    INDEX('[1]5. Assess Risks'!$G$6:$G$704,MATCH('[1]Lists and Calcs (Hidden)'!AJ168,'[1]Lists and Calcs (Hidden)'!$AB$34:$AB$732,0))
))</f>
        <v/>
      </c>
      <c r="Q144" s="99" t="str">
        <f>IF('[1]Lists and Calcs (Hidden)'!AJ168="","",
                    IF(INDEX('[1]5. Assess Risks'!$H$6:$H$704,MATCH('[1]Lists and Calcs (Hidden)'!AJ168,'[1]Lists and Calcs (Hidden)'!$AB$34:$AB$732,0))="","",
                                    INDEX('[1]5. Assess Risks'!$H$6:$H$704,MATCH('[1]Lists and Calcs (Hidden)'!AJ168,'[1]Lists and Calcs (Hidden)'!$AB$34:$AB$732,0))
))</f>
        <v/>
      </c>
      <c r="R144" s="100" t="str">
        <f>IFERROR(IF('[1]2. Prepare'!$O$50="Quantitative",INDEX('[1]Lists and Calcs (Hidden)'!$M$12:$Q$16,MATCH('[1]6. Risk Register Integration'!P144,'[1]Lists and Calcs (Hidden)'!$K$12:$K$16,0),MATCH('[1]6. Risk Register Integration'!Q144,'[1]Lists and Calcs (Hidden)'!$M$10:$Q$10,0)),INDEX('[1]Lists and Calcs (Hidden)'!$Z$12:$AD$16,MATCH('[1]6. Risk Register Integration'!P144,'[1]Lists and Calcs (Hidden)'!$X$12:$X$16,0),MATCH('[1]6. Risk Register Integration'!Q144,'[1]Lists and Calcs (Hidden)'!$Z$10:$AD$10,0))),"")</f>
        <v/>
      </c>
      <c r="S144" s="101" t="str">
        <f>IF('[1]Lists and Calcs (Hidden)'!AJ168="","",
                    IF(INDEX('[1]5. Assess Risks'!$J$6:$J$704,MATCH('[1]Lists and Calcs (Hidden)'!AJ168,'[1]Lists and Calcs (Hidden)'!$AB$34:$AB$732,0))="","",
                                    INDEX('[1]5. Assess Risks'!$J$6:$J$704,MATCH('[1]Lists and Calcs (Hidden)'!AJ168,'[1]Lists and Calcs (Hidden)'!$AB$34:$AB$732,0))
))</f>
        <v/>
      </c>
      <c r="T144" s="102"/>
      <c r="U144" s="105"/>
      <c r="V144" s="106"/>
      <c r="W144" s="105"/>
      <c r="X144" s="105"/>
      <c r="Y144" s="98" t="str">
        <f>IF('[1]Lists and Calcs (Hidden)'!AJ168="","",
                    IF(INDEX('[1]5. Assess Risks'!$L$6:$L$704,MATCH('[1]Lists and Calcs (Hidden)'!AJ168,'[1]Lists and Calcs (Hidden)'!$AB$34:$AB$732,0))="","",
                                    INDEX('[1]5. Assess Risks'!$L$6:$L$704,MATCH('[1]Lists and Calcs (Hidden)'!AJ168,'[1]Lists and Calcs (Hidden)'!$AB$34:$AB$732,0))
))</f>
        <v/>
      </c>
      <c r="Z144" s="95"/>
      <c r="AA144" s="96"/>
      <c r="AB144" s="85"/>
      <c r="AC144" s="86"/>
      <c r="AD144" s="87" t="str">
        <f>IFERROR(IF('[1]2. Prepare'!$O$50="Quantitative",INDEX('[1]Lists and Calcs (Hidden)'!$M$12:$Q$16,MATCH('[1]6. Risk Register Integration'!AB144,'[1]Lists and Calcs (Hidden)'!$K$12:$K$16,0),MATCH('[1]6. Risk Register Integration'!AC144,'[1]Lists and Calcs (Hidden)'!$M$10:$Q$10,0)),INDEX('[1]Lists and Calcs (Hidden)'!$Z$12:$AD$16,MATCH('[1]6. Risk Register Integration'!AB144,'[1]Lists and Calcs (Hidden)'!$X$12:$X$16,0),MATCH('[1]6. Risk Register Integration'!AC144,'[1]Lists and Calcs (Hidden)'!$Z$10:$AD$10,0))),"")</f>
        <v/>
      </c>
      <c r="AE144" s="54"/>
      <c r="AF144" s="4"/>
      <c r="AG144" s="4"/>
    </row>
    <row r="145" spans="2:33" ht="330" customHeight="1" x14ac:dyDescent="0.2">
      <c r="B145" s="107"/>
      <c r="C145" s="89" t="str">
        <f>IF('[1]Lists and Calcs (Hidden)'!AJ169="","",
                    IF(INDEX('[1]5. Assess Risks'!$B$6:$B$704,MATCH('[1]Lists and Calcs (Hidden)'!AJ169,'[1]Lists and Calcs (Hidden)'!$AB$34:$AB$732,0))="","",
                                    INDEX('[1]5. Assess Risks'!$B$6:$B$704,MATCH('[1]Lists and Calcs (Hidden)'!AJ169,'[1]Lists and Calcs (Hidden)'!$AB$34:$AB$732,0))
))</f>
        <v/>
      </c>
      <c r="D145" s="90" t="str">
        <f>IF(C145="", "", '[1]2. Prepare'!$E$6)</f>
        <v/>
      </c>
      <c r="E145" s="91"/>
      <c r="F145" s="91"/>
      <c r="G145" s="91"/>
      <c r="H145" s="91"/>
      <c r="I145" s="89" t="str">
        <f>IF('[1]Lists and Calcs (Hidden)'!AJ169="","",
                    IF(INDEX('[1]5. Assess Risks'!$D$6:$D$704,MATCH('[1]Lists and Calcs (Hidden)'!AJ169,'[1]Lists and Calcs (Hidden)'!$AB$34:$AB$732,0))="","",
                                    INDEX('[1]5. Assess Risks'!$D$6:$D$704,MATCH('[1]Lists and Calcs (Hidden)'!AJ169,'[1]Lists and Calcs (Hidden)'!$AB$34:$AB$732,0))
))</f>
        <v/>
      </c>
      <c r="J145" s="91"/>
      <c r="K145" s="91"/>
      <c r="L145" s="91"/>
      <c r="M145" s="91"/>
      <c r="N145" s="91"/>
      <c r="O145" s="91"/>
      <c r="P145" s="92" t="str">
        <f>IF('[1]Lists and Calcs (Hidden)'!AJ169="","",
                    IF(INDEX('[1]5. Assess Risks'!$G$6:$G$704,MATCH('[1]Lists and Calcs (Hidden)'!AJ169,'[1]Lists and Calcs (Hidden)'!$AB$34:$AB$732,0))="","",
                                    INDEX('[1]5. Assess Risks'!$G$6:$G$704,MATCH('[1]Lists and Calcs (Hidden)'!AJ169,'[1]Lists and Calcs (Hidden)'!$AB$34:$AB$732,0))
))</f>
        <v/>
      </c>
      <c r="Q145" s="92" t="str">
        <f>IF('[1]Lists and Calcs (Hidden)'!AJ169="","",
                    IF(INDEX('[1]5. Assess Risks'!$H$6:$H$704,MATCH('[1]Lists and Calcs (Hidden)'!AJ169,'[1]Lists and Calcs (Hidden)'!$AB$34:$AB$732,0))="","",
                                    INDEX('[1]5. Assess Risks'!$H$6:$H$704,MATCH('[1]Lists and Calcs (Hidden)'!AJ169,'[1]Lists and Calcs (Hidden)'!$AB$34:$AB$732,0))
))</f>
        <v/>
      </c>
      <c r="R145" s="93" t="str">
        <f>IFERROR(IF('[1]2. Prepare'!$O$50="Quantitative",INDEX('[1]Lists and Calcs (Hidden)'!$M$12:$Q$16,MATCH('[1]6. Risk Register Integration'!P145,'[1]Lists and Calcs (Hidden)'!$K$12:$K$16,0),MATCH('[1]6. Risk Register Integration'!Q145,'[1]Lists and Calcs (Hidden)'!$M$10:$Q$10,0)),INDEX('[1]Lists and Calcs (Hidden)'!$Z$12:$AD$16,MATCH('[1]6. Risk Register Integration'!P145,'[1]Lists and Calcs (Hidden)'!$X$12:$X$16,0),MATCH('[1]6. Risk Register Integration'!Q145,'[1]Lists and Calcs (Hidden)'!$Z$10:$AD$10,0))),"")</f>
        <v/>
      </c>
      <c r="S145" s="94" t="str">
        <f>IF('[1]Lists and Calcs (Hidden)'!AJ169="","",
                    IF(INDEX('[1]5. Assess Risks'!$J$6:$J$704,MATCH('[1]Lists and Calcs (Hidden)'!AJ169,'[1]Lists and Calcs (Hidden)'!$AB$34:$AB$732,0))="","",
                                    INDEX('[1]5. Assess Risks'!$J$6:$J$704,MATCH('[1]Lists and Calcs (Hidden)'!AJ169,'[1]Lists and Calcs (Hidden)'!$AB$34:$AB$732,0))
))</f>
        <v/>
      </c>
      <c r="T145" s="102"/>
      <c r="U145" s="105"/>
      <c r="V145" s="106"/>
      <c r="W145" s="105"/>
      <c r="X145" s="105"/>
      <c r="Y145" s="89" t="str">
        <f>IF('[1]Lists and Calcs (Hidden)'!AJ169="","",
                    IF(INDEX('[1]5. Assess Risks'!$L$6:$L$704,MATCH('[1]Lists and Calcs (Hidden)'!AJ169,'[1]Lists and Calcs (Hidden)'!$AB$34:$AB$732,0))="","",
                                    INDEX('[1]5. Assess Risks'!$L$6:$L$704,MATCH('[1]Lists and Calcs (Hidden)'!AJ169,'[1]Lists and Calcs (Hidden)'!$AB$34:$AB$732,0))
))</f>
        <v/>
      </c>
      <c r="Z145" s="95"/>
      <c r="AA145" s="96"/>
      <c r="AB145" s="85"/>
      <c r="AC145" s="86"/>
      <c r="AD145" s="87" t="str">
        <f>IFERROR(IF('[1]2. Prepare'!$O$50="Quantitative",INDEX('[1]Lists and Calcs (Hidden)'!$M$12:$Q$16,MATCH('[1]6. Risk Register Integration'!AB145,'[1]Lists and Calcs (Hidden)'!$K$12:$K$16,0),MATCH('[1]6. Risk Register Integration'!AC145,'[1]Lists and Calcs (Hidden)'!$M$10:$Q$10,0)),INDEX('[1]Lists and Calcs (Hidden)'!$Z$12:$AD$16,MATCH('[1]6. Risk Register Integration'!AB145,'[1]Lists and Calcs (Hidden)'!$X$12:$X$16,0),MATCH('[1]6. Risk Register Integration'!AC145,'[1]Lists and Calcs (Hidden)'!$Z$10:$AD$10,0))),"")</f>
        <v/>
      </c>
      <c r="AE145" s="54"/>
      <c r="AF145" s="4"/>
      <c r="AG145" s="4"/>
    </row>
    <row r="146" spans="2:33" ht="330" customHeight="1" x14ac:dyDescent="0.2">
      <c r="B146" s="107"/>
      <c r="C146" s="98" t="str">
        <f>IF('[1]Lists and Calcs (Hidden)'!AJ170="","",
                    IF(INDEX('[1]5. Assess Risks'!$B$6:$B$704,MATCH('[1]Lists and Calcs (Hidden)'!AJ170,'[1]Lists and Calcs (Hidden)'!$AB$34:$AB$732,0))="","",
                                    INDEX('[1]5. Assess Risks'!$B$6:$B$704,MATCH('[1]Lists and Calcs (Hidden)'!AJ170,'[1]Lists and Calcs (Hidden)'!$AB$34:$AB$732,0))
))</f>
        <v/>
      </c>
      <c r="D146" s="90" t="str">
        <f>IF(C146="", "", '[1]2. Prepare'!$E$6)</f>
        <v/>
      </c>
      <c r="E146" s="91"/>
      <c r="F146" s="91"/>
      <c r="G146" s="91"/>
      <c r="H146" s="91"/>
      <c r="I146" s="98" t="str">
        <f>IF('[1]Lists and Calcs (Hidden)'!AJ170="","",
                    IF(INDEX('[1]5. Assess Risks'!$D$6:$D$704,MATCH('[1]Lists and Calcs (Hidden)'!AJ170,'[1]Lists and Calcs (Hidden)'!$AB$34:$AB$732,0))="","",
                                    INDEX('[1]5. Assess Risks'!$D$6:$D$704,MATCH('[1]Lists and Calcs (Hidden)'!AJ170,'[1]Lists and Calcs (Hidden)'!$AB$34:$AB$732,0))
))</f>
        <v/>
      </c>
      <c r="J146" s="91"/>
      <c r="K146" s="91"/>
      <c r="L146" s="91"/>
      <c r="M146" s="91"/>
      <c r="N146" s="91"/>
      <c r="O146" s="91"/>
      <c r="P146" s="99" t="str">
        <f>IF('[1]Lists and Calcs (Hidden)'!AJ170="","",
                    IF(INDEX('[1]5. Assess Risks'!$G$6:$G$704,MATCH('[1]Lists and Calcs (Hidden)'!AJ170,'[1]Lists and Calcs (Hidden)'!$AB$34:$AB$732,0))="","",
                                    INDEX('[1]5. Assess Risks'!$G$6:$G$704,MATCH('[1]Lists and Calcs (Hidden)'!AJ170,'[1]Lists and Calcs (Hidden)'!$AB$34:$AB$732,0))
))</f>
        <v/>
      </c>
      <c r="Q146" s="99" t="str">
        <f>IF('[1]Lists and Calcs (Hidden)'!AJ170="","",
                    IF(INDEX('[1]5. Assess Risks'!$H$6:$H$704,MATCH('[1]Lists and Calcs (Hidden)'!AJ170,'[1]Lists and Calcs (Hidden)'!$AB$34:$AB$732,0))="","",
                                    INDEX('[1]5. Assess Risks'!$H$6:$H$704,MATCH('[1]Lists and Calcs (Hidden)'!AJ170,'[1]Lists and Calcs (Hidden)'!$AB$34:$AB$732,0))
))</f>
        <v/>
      </c>
      <c r="R146" s="100" t="str">
        <f>IFERROR(IF('[1]2. Prepare'!$O$50="Quantitative",INDEX('[1]Lists and Calcs (Hidden)'!$M$12:$Q$16,MATCH('[1]6. Risk Register Integration'!P146,'[1]Lists and Calcs (Hidden)'!$K$12:$K$16,0),MATCH('[1]6. Risk Register Integration'!Q146,'[1]Lists and Calcs (Hidden)'!$M$10:$Q$10,0)),INDEX('[1]Lists and Calcs (Hidden)'!$Z$12:$AD$16,MATCH('[1]6. Risk Register Integration'!P146,'[1]Lists and Calcs (Hidden)'!$X$12:$X$16,0),MATCH('[1]6. Risk Register Integration'!Q146,'[1]Lists and Calcs (Hidden)'!$Z$10:$AD$10,0))),"")</f>
        <v/>
      </c>
      <c r="S146" s="101" t="str">
        <f>IF('[1]Lists and Calcs (Hidden)'!AJ170="","",
                    IF(INDEX('[1]5. Assess Risks'!$J$6:$J$704,MATCH('[1]Lists and Calcs (Hidden)'!AJ170,'[1]Lists and Calcs (Hidden)'!$AB$34:$AB$732,0))="","",
                                    INDEX('[1]5. Assess Risks'!$J$6:$J$704,MATCH('[1]Lists and Calcs (Hidden)'!AJ170,'[1]Lists and Calcs (Hidden)'!$AB$34:$AB$732,0))
))</f>
        <v/>
      </c>
      <c r="T146" s="102"/>
      <c r="U146" s="105"/>
      <c r="V146" s="106"/>
      <c r="W146" s="105"/>
      <c r="X146" s="105"/>
      <c r="Y146" s="98" t="str">
        <f>IF('[1]Lists and Calcs (Hidden)'!AJ170="","",
                    IF(INDEX('[1]5. Assess Risks'!$L$6:$L$704,MATCH('[1]Lists and Calcs (Hidden)'!AJ170,'[1]Lists and Calcs (Hidden)'!$AB$34:$AB$732,0))="","",
                                    INDEX('[1]5. Assess Risks'!$L$6:$L$704,MATCH('[1]Lists and Calcs (Hidden)'!AJ170,'[1]Lists and Calcs (Hidden)'!$AB$34:$AB$732,0))
))</f>
        <v/>
      </c>
      <c r="Z146" s="95"/>
      <c r="AA146" s="96"/>
      <c r="AB146" s="85"/>
      <c r="AC146" s="86"/>
      <c r="AD146" s="87" t="str">
        <f>IFERROR(IF('[1]2. Prepare'!$O$50="Quantitative",INDEX('[1]Lists and Calcs (Hidden)'!$M$12:$Q$16,MATCH('[1]6. Risk Register Integration'!AB146,'[1]Lists and Calcs (Hidden)'!$K$12:$K$16,0),MATCH('[1]6. Risk Register Integration'!AC146,'[1]Lists and Calcs (Hidden)'!$M$10:$Q$10,0)),INDEX('[1]Lists and Calcs (Hidden)'!$Z$12:$AD$16,MATCH('[1]6. Risk Register Integration'!AB146,'[1]Lists and Calcs (Hidden)'!$X$12:$X$16,0),MATCH('[1]6. Risk Register Integration'!AC146,'[1]Lists and Calcs (Hidden)'!$Z$10:$AD$10,0))),"")</f>
        <v/>
      </c>
      <c r="AE146" s="54"/>
      <c r="AF146" s="4"/>
      <c r="AG146" s="4"/>
    </row>
    <row r="147" spans="2:33" ht="330" customHeight="1" x14ac:dyDescent="0.2">
      <c r="B147" s="108"/>
      <c r="C147" s="89" t="str">
        <f>IF('[1]Lists and Calcs (Hidden)'!AJ171="","",
                    IF(INDEX('[1]5. Assess Risks'!$B$6:$B$704,MATCH('[1]Lists and Calcs (Hidden)'!AJ171,'[1]Lists and Calcs (Hidden)'!$AB$34:$AB$732,0))="","",
                                    INDEX('[1]5. Assess Risks'!$B$6:$B$704,MATCH('[1]Lists and Calcs (Hidden)'!AJ171,'[1]Lists and Calcs (Hidden)'!$AB$34:$AB$732,0))
))</f>
        <v/>
      </c>
      <c r="D147" s="90" t="str">
        <f>IF(C147="", "", '[1]2. Prepare'!$E$6)</f>
        <v/>
      </c>
      <c r="E147" s="91"/>
      <c r="F147" s="91"/>
      <c r="G147" s="91"/>
      <c r="H147" s="91"/>
      <c r="I147" s="89" t="str">
        <f>IF('[1]Lists and Calcs (Hidden)'!AJ171="","",
                    IF(INDEX('[1]5. Assess Risks'!$D$6:$D$704,MATCH('[1]Lists and Calcs (Hidden)'!AJ171,'[1]Lists and Calcs (Hidden)'!$AB$34:$AB$732,0))="","",
                                    INDEX('[1]5. Assess Risks'!$D$6:$D$704,MATCH('[1]Lists and Calcs (Hidden)'!AJ171,'[1]Lists and Calcs (Hidden)'!$AB$34:$AB$732,0))
))</f>
        <v/>
      </c>
      <c r="J147" s="91"/>
      <c r="K147" s="91"/>
      <c r="L147" s="91"/>
      <c r="M147" s="91"/>
      <c r="N147" s="91"/>
      <c r="O147" s="91"/>
      <c r="P147" s="92" t="str">
        <f>IF('[1]Lists and Calcs (Hidden)'!AJ171="","",
                    IF(INDEX('[1]5. Assess Risks'!$G$6:$G$704,MATCH('[1]Lists and Calcs (Hidden)'!AJ171,'[1]Lists and Calcs (Hidden)'!$AB$34:$AB$732,0))="","",
                                    INDEX('[1]5. Assess Risks'!$G$6:$G$704,MATCH('[1]Lists and Calcs (Hidden)'!AJ171,'[1]Lists and Calcs (Hidden)'!$AB$34:$AB$732,0))
))</f>
        <v/>
      </c>
      <c r="Q147" s="92" t="str">
        <f>IF('[1]Lists and Calcs (Hidden)'!AJ171="","",
                    IF(INDEX('[1]5. Assess Risks'!$H$6:$H$704,MATCH('[1]Lists and Calcs (Hidden)'!AJ171,'[1]Lists and Calcs (Hidden)'!$AB$34:$AB$732,0))="","",
                                    INDEX('[1]5. Assess Risks'!$H$6:$H$704,MATCH('[1]Lists and Calcs (Hidden)'!AJ171,'[1]Lists and Calcs (Hidden)'!$AB$34:$AB$732,0))
))</f>
        <v/>
      </c>
      <c r="R147" s="93" t="str">
        <f>IFERROR(IF('[1]2. Prepare'!$O$50="Quantitative",INDEX('[1]Lists and Calcs (Hidden)'!$M$12:$Q$16,MATCH('[1]6. Risk Register Integration'!P147,'[1]Lists and Calcs (Hidden)'!$K$12:$K$16,0),MATCH('[1]6. Risk Register Integration'!Q147,'[1]Lists and Calcs (Hidden)'!$M$10:$Q$10,0)),INDEX('[1]Lists and Calcs (Hidden)'!$Z$12:$AD$16,MATCH('[1]6. Risk Register Integration'!P147,'[1]Lists and Calcs (Hidden)'!$X$12:$X$16,0),MATCH('[1]6. Risk Register Integration'!Q147,'[1]Lists and Calcs (Hidden)'!$Z$10:$AD$10,0))),"")</f>
        <v/>
      </c>
      <c r="S147" s="94" t="str">
        <f>IF('[1]Lists and Calcs (Hidden)'!AJ171="","",
                    IF(INDEX('[1]5. Assess Risks'!$J$6:$J$704,MATCH('[1]Lists and Calcs (Hidden)'!AJ171,'[1]Lists and Calcs (Hidden)'!$AB$34:$AB$732,0))="","",
                                    INDEX('[1]5. Assess Risks'!$J$6:$J$704,MATCH('[1]Lists and Calcs (Hidden)'!AJ171,'[1]Lists and Calcs (Hidden)'!$AB$34:$AB$732,0))
))</f>
        <v/>
      </c>
      <c r="T147" s="102"/>
      <c r="U147" s="105"/>
      <c r="V147" s="106"/>
      <c r="W147" s="105"/>
      <c r="X147" s="105"/>
      <c r="Y147" s="89" t="str">
        <f>IF('[1]Lists and Calcs (Hidden)'!AJ171="","",
                    IF(INDEX('[1]5. Assess Risks'!$L$6:$L$704,MATCH('[1]Lists and Calcs (Hidden)'!AJ171,'[1]Lists and Calcs (Hidden)'!$AB$34:$AB$732,0))="","",
                                    INDEX('[1]5. Assess Risks'!$L$6:$L$704,MATCH('[1]Lists and Calcs (Hidden)'!AJ171,'[1]Lists and Calcs (Hidden)'!$AB$34:$AB$732,0))
))</f>
        <v/>
      </c>
      <c r="Z147" s="95"/>
      <c r="AA147" s="96"/>
      <c r="AB147" s="85"/>
      <c r="AC147" s="86"/>
      <c r="AD147" s="87" t="str">
        <f>IFERROR(IF('[1]2. Prepare'!$O$50="Quantitative",INDEX('[1]Lists and Calcs (Hidden)'!$M$12:$Q$16,MATCH('[1]6. Risk Register Integration'!AB147,'[1]Lists and Calcs (Hidden)'!$K$12:$K$16,0),MATCH('[1]6. Risk Register Integration'!AC147,'[1]Lists and Calcs (Hidden)'!$M$10:$Q$10,0)),INDEX('[1]Lists and Calcs (Hidden)'!$Z$12:$AD$16,MATCH('[1]6. Risk Register Integration'!AB147,'[1]Lists and Calcs (Hidden)'!$X$12:$X$16,0),MATCH('[1]6. Risk Register Integration'!AC147,'[1]Lists and Calcs (Hidden)'!$Z$10:$AD$10,0))),"")</f>
        <v/>
      </c>
      <c r="AE147" s="54"/>
      <c r="AF147" s="4"/>
      <c r="AG147" s="4"/>
    </row>
    <row r="148" spans="2:33" ht="330" customHeight="1" x14ac:dyDescent="0.2">
      <c r="B148" s="107"/>
      <c r="C148" s="98" t="str">
        <f>IF('[1]Lists and Calcs (Hidden)'!AJ172="","",
                    IF(INDEX('[1]5. Assess Risks'!$B$6:$B$704,MATCH('[1]Lists and Calcs (Hidden)'!AJ172,'[1]Lists and Calcs (Hidden)'!$AB$34:$AB$732,0))="","",
                                    INDEX('[1]5. Assess Risks'!$B$6:$B$704,MATCH('[1]Lists and Calcs (Hidden)'!AJ172,'[1]Lists and Calcs (Hidden)'!$AB$34:$AB$732,0))
))</f>
        <v/>
      </c>
      <c r="D148" s="90" t="str">
        <f>IF(C148="", "", '[1]2. Prepare'!$E$6)</f>
        <v/>
      </c>
      <c r="E148" s="91"/>
      <c r="F148" s="91"/>
      <c r="G148" s="91"/>
      <c r="H148" s="91"/>
      <c r="I148" s="98" t="str">
        <f>IF('[1]Lists and Calcs (Hidden)'!AJ172="","",
                    IF(INDEX('[1]5. Assess Risks'!$D$6:$D$704,MATCH('[1]Lists and Calcs (Hidden)'!AJ172,'[1]Lists and Calcs (Hidden)'!$AB$34:$AB$732,0))="","",
                                    INDEX('[1]5. Assess Risks'!$D$6:$D$704,MATCH('[1]Lists and Calcs (Hidden)'!AJ172,'[1]Lists and Calcs (Hidden)'!$AB$34:$AB$732,0))
))</f>
        <v/>
      </c>
      <c r="J148" s="91"/>
      <c r="K148" s="91"/>
      <c r="L148" s="91"/>
      <c r="M148" s="91"/>
      <c r="N148" s="91"/>
      <c r="O148" s="91"/>
      <c r="P148" s="99" t="str">
        <f>IF('[1]Lists and Calcs (Hidden)'!AJ172="","",
                    IF(INDEX('[1]5. Assess Risks'!$G$6:$G$704,MATCH('[1]Lists and Calcs (Hidden)'!AJ172,'[1]Lists and Calcs (Hidden)'!$AB$34:$AB$732,0))="","",
                                    INDEX('[1]5. Assess Risks'!$G$6:$G$704,MATCH('[1]Lists and Calcs (Hidden)'!AJ172,'[1]Lists and Calcs (Hidden)'!$AB$34:$AB$732,0))
))</f>
        <v/>
      </c>
      <c r="Q148" s="99" t="str">
        <f>IF('[1]Lists and Calcs (Hidden)'!AJ172="","",
                    IF(INDEX('[1]5. Assess Risks'!$H$6:$H$704,MATCH('[1]Lists and Calcs (Hidden)'!AJ172,'[1]Lists and Calcs (Hidden)'!$AB$34:$AB$732,0))="","",
                                    INDEX('[1]5. Assess Risks'!$H$6:$H$704,MATCH('[1]Lists and Calcs (Hidden)'!AJ172,'[1]Lists and Calcs (Hidden)'!$AB$34:$AB$732,0))
))</f>
        <v/>
      </c>
      <c r="R148" s="100" t="str">
        <f>IFERROR(IF('[1]2. Prepare'!$O$50="Quantitative",INDEX('[1]Lists and Calcs (Hidden)'!$M$12:$Q$16,MATCH('[1]6. Risk Register Integration'!P148,'[1]Lists and Calcs (Hidden)'!$K$12:$K$16,0),MATCH('[1]6. Risk Register Integration'!Q148,'[1]Lists and Calcs (Hidden)'!$M$10:$Q$10,0)),INDEX('[1]Lists and Calcs (Hidden)'!$Z$12:$AD$16,MATCH('[1]6. Risk Register Integration'!P148,'[1]Lists and Calcs (Hidden)'!$X$12:$X$16,0),MATCH('[1]6. Risk Register Integration'!Q148,'[1]Lists and Calcs (Hidden)'!$Z$10:$AD$10,0))),"")</f>
        <v/>
      </c>
      <c r="S148" s="101" t="str">
        <f>IF('[1]Lists and Calcs (Hidden)'!AJ172="","",
                    IF(INDEX('[1]5. Assess Risks'!$J$6:$J$704,MATCH('[1]Lists and Calcs (Hidden)'!AJ172,'[1]Lists and Calcs (Hidden)'!$AB$34:$AB$732,0))="","",
                                    INDEX('[1]5. Assess Risks'!$J$6:$J$704,MATCH('[1]Lists and Calcs (Hidden)'!AJ172,'[1]Lists and Calcs (Hidden)'!$AB$34:$AB$732,0))
))</f>
        <v/>
      </c>
      <c r="T148" s="102"/>
      <c r="U148" s="105"/>
      <c r="V148" s="106"/>
      <c r="W148" s="105"/>
      <c r="X148" s="105"/>
      <c r="Y148" s="98" t="str">
        <f>IF('[1]Lists and Calcs (Hidden)'!AJ172="","",
                    IF(INDEX('[1]5. Assess Risks'!$L$6:$L$704,MATCH('[1]Lists and Calcs (Hidden)'!AJ172,'[1]Lists and Calcs (Hidden)'!$AB$34:$AB$732,0))="","",
                                    INDEX('[1]5. Assess Risks'!$L$6:$L$704,MATCH('[1]Lists and Calcs (Hidden)'!AJ172,'[1]Lists and Calcs (Hidden)'!$AB$34:$AB$732,0))
))</f>
        <v/>
      </c>
      <c r="Z148" s="95"/>
      <c r="AA148" s="96"/>
      <c r="AB148" s="85"/>
      <c r="AC148" s="86"/>
      <c r="AD148" s="87" t="str">
        <f>IFERROR(IF('[1]2. Prepare'!$O$50="Quantitative",INDEX('[1]Lists and Calcs (Hidden)'!$M$12:$Q$16,MATCH('[1]6. Risk Register Integration'!AB148,'[1]Lists and Calcs (Hidden)'!$K$12:$K$16,0),MATCH('[1]6. Risk Register Integration'!AC148,'[1]Lists and Calcs (Hidden)'!$M$10:$Q$10,0)),INDEX('[1]Lists and Calcs (Hidden)'!$Z$12:$AD$16,MATCH('[1]6. Risk Register Integration'!AB148,'[1]Lists and Calcs (Hidden)'!$X$12:$X$16,0),MATCH('[1]6. Risk Register Integration'!AC148,'[1]Lists and Calcs (Hidden)'!$Z$10:$AD$10,0))),"")</f>
        <v/>
      </c>
      <c r="AE148" s="54"/>
      <c r="AF148" s="4"/>
      <c r="AG148" s="4"/>
    </row>
    <row r="149" spans="2:33" ht="330" customHeight="1" x14ac:dyDescent="0.2">
      <c r="B149" s="107"/>
      <c r="C149" s="89" t="str">
        <f>IF('[1]Lists and Calcs (Hidden)'!AJ173="","",
                    IF(INDEX('[1]5. Assess Risks'!$B$6:$B$704,MATCH('[1]Lists and Calcs (Hidden)'!AJ173,'[1]Lists and Calcs (Hidden)'!$AB$34:$AB$732,0))="","",
                                    INDEX('[1]5. Assess Risks'!$B$6:$B$704,MATCH('[1]Lists and Calcs (Hidden)'!AJ173,'[1]Lists and Calcs (Hidden)'!$AB$34:$AB$732,0))
))</f>
        <v/>
      </c>
      <c r="D149" s="90" t="str">
        <f>IF(C149="", "", '[1]2. Prepare'!$E$6)</f>
        <v/>
      </c>
      <c r="E149" s="91"/>
      <c r="F149" s="91"/>
      <c r="G149" s="91"/>
      <c r="H149" s="91"/>
      <c r="I149" s="89" t="str">
        <f>IF('[1]Lists and Calcs (Hidden)'!AJ173="","",
                    IF(INDEX('[1]5. Assess Risks'!$D$6:$D$704,MATCH('[1]Lists and Calcs (Hidden)'!AJ173,'[1]Lists and Calcs (Hidden)'!$AB$34:$AB$732,0))="","",
                                    INDEX('[1]5. Assess Risks'!$D$6:$D$704,MATCH('[1]Lists and Calcs (Hidden)'!AJ173,'[1]Lists and Calcs (Hidden)'!$AB$34:$AB$732,0))
))</f>
        <v/>
      </c>
      <c r="J149" s="91"/>
      <c r="K149" s="91"/>
      <c r="L149" s="91"/>
      <c r="M149" s="91"/>
      <c r="N149" s="91"/>
      <c r="O149" s="91"/>
      <c r="P149" s="92" t="str">
        <f>IF('[1]Lists and Calcs (Hidden)'!AJ173="","",
                    IF(INDEX('[1]5. Assess Risks'!$G$6:$G$704,MATCH('[1]Lists and Calcs (Hidden)'!AJ173,'[1]Lists and Calcs (Hidden)'!$AB$34:$AB$732,0))="","",
                                    INDEX('[1]5. Assess Risks'!$G$6:$G$704,MATCH('[1]Lists and Calcs (Hidden)'!AJ173,'[1]Lists and Calcs (Hidden)'!$AB$34:$AB$732,0))
))</f>
        <v/>
      </c>
      <c r="Q149" s="92" t="str">
        <f>IF('[1]Lists and Calcs (Hidden)'!AJ173="","",
                    IF(INDEX('[1]5. Assess Risks'!$H$6:$H$704,MATCH('[1]Lists and Calcs (Hidden)'!AJ173,'[1]Lists and Calcs (Hidden)'!$AB$34:$AB$732,0))="","",
                                    INDEX('[1]5. Assess Risks'!$H$6:$H$704,MATCH('[1]Lists and Calcs (Hidden)'!AJ173,'[1]Lists and Calcs (Hidden)'!$AB$34:$AB$732,0))
))</f>
        <v/>
      </c>
      <c r="R149" s="93" t="str">
        <f>IFERROR(IF('[1]2. Prepare'!$O$50="Quantitative",INDEX('[1]Lists and Calcs (Hidden)'!$M$12:$Q$16,MATCH('[1]6. Risk Register Integration'!P149,'[1]Lists and Calcs (Hidden)'!$K$12:$K$16,0),MATCH('[1]6. Risk Register Integration'!Q149,'[1]Lists and Calcs (Hidden)'!$M$10:$Q$10,0)),INDEX('[1]Lists and Calcs (Hidden)'!$Z$12:$AD$16,MATCH('[1]6. Risk Register Integration'!P149,'[1]Lists and Calcs (Hidden)'!$X$12:$X$16,0),MATCH('[1]6. Risk Register Integration'!Q149,'[1]Lists and Calcs (Hidden)'!$Z$10:$AD$10,0))),"")</f>
        <v/>
      </c>
      <c r="S149" s="94" t="str">
        <f>IF('[1]Lists and Calcs (Hidden)'!AJ173="","",
                    IF(INDEX('[1]5. Assess Risks'!$J$6:$J$704,MATCH('[1]Lists and Calcs (Hidden)'!AJ173,'[1]Lists and Calcs (Hidden)'!$AB$34:$AB$732,0))="","",
                                    INDEX('[1]5. Assess Risks'!$J$6:$J$704,MATCH('[1]Lists and Calcs (Hidden)'!AJ173,'[1]Lists and Calcs (Hidden)'!$AB$34:$AB$732,0))
))</f>
        <v/>
      </c>
      <c r="T149" s="102"/>
      <c r="U149" s="105"/>
      <c r="V149" s="106"/>
      <c r="W149" s="105"/>
      <c r="X149" s="105"/>
      <c r="Y149" s="89" t="str">
        <f>IF('[1]Lists and Calcs (Hidden)'!AJ173="","",
                    IF(INDEX('[1]5. Assess Risks'!$L$6:$L$704,MATCH('[1]Lists and Calcs (Hidden)'!AJ173,'[1]Lists and Calcs (Hidden)'!$AB$34:$AB$732,0))="","",
                                    INDEX('[1]5. Assess Risks'!$L$6:$L$704,MATCH('[1]Lists and Calcs (Hidden)'!AJ173,'[1]Lists and Calcs (Hidden)'!$AB$34:$AB$732,0))
))</f>
        <v/>
      </c>
      <c r="Z149" s="95"/>
      <c r="AA149" s="96"/>
      <c r="AB149" s="85"/>
      <c r="AC149" s="86"/>
      <c r="AD149" s="87" t="str">
        <f>IFERROR(IF('[1]2. Prepare'!$O$50="Quantitative",INDEX('[1]Lists and Calcs (Hidden)'!$M$12:$Q$16,MATCH('[1]6. Risk Register Integration'!AB149,'[1]Lists and Calcs (Hidden)'!$K$12:$K$16,0),MATCH('[1]6. Risk Register Integration'!AC149,'[1]Lists and Calcs (Hidden)'!$M$10:$Q$10,0)),INDEX('[1]Lists and Calcs (Hidden)'!$Z$12:$AD$16,MATCH('[1]6. Risk Register Integration'!AB149,'[1]Lists and Calcs (Hidden)'!$X$12:$X$16,0),MATCH('[1]6. Risk Register Integration'!AC149,'[1]Lists and Calcs (Hidden)'!$Z$10:$AD$10,0))),"")</f>
        <v/>
      </c>
      <c r="AE149" s="54"/>
      <c r="AF149" s="4"/>
      <c r="AG149" s="4"/>
    </row>
    <row r="150" spans="2:33" ht="330" customHeight="1" x14ac:dyDescent="0.2">
      <c r="B150" s="108"/>
      <c r="C150" s="98" t="str">
        <f>IF('[1]Lists and Calcs (Hidden)'!AJ174="","",
                    IF(INDEX('[1]5. Assess Risks'!$B$6:$B$704,MATCH('[1]Lists and Calcs (Hidden)'!AJ174,'[1]Lists and Calcs (Hidden)'!$AB$34:$AB$732,0))="","",
                                    INDEX('[1]5. Assess Risks'!$B$6:$B$704,MATCH('[1]Lists and Calcs (Hidden)'!AJ174,'[1]Lists and Calcs (Hidden)'!$AB$34:$AB$732,0))
))</f>
        <v/>
      </c>
      <c r="D150" s="90" t="str">
        <f>IF(C150="", "", '[1]2. Prepare'!$E$6)</f>
        <v/>
      </c>
      <c r="E150" s="91"/>
      <c r="F150" s="91"/>
      <c r="G150" s="91"/>
      <c r="H150" s="91"/>
      <c r="I150" s="98" t="str">
        <f>IF('[1]Lists and Calcs (Hidden)'!AJ174="","",
                    IF(INDEX('[1]5. Assess Risks'!$D$6:$D$704,MATCH('[1]Lists and Calcs (Hidden)'!AJ174,'[1]Lists and Calcs (Hidden)'!$AB$34:$AB$732,0))="","",
                                    INDEX('[1]5. Assess Risks'!$D$6:$D$704,MATCH('[1]Lists and Calcs (Hidden)'!AJ174,'[1]Lists and Calcs (Hidden)'!$AB$34:$AB$732,0))
))</f>
        <v/>
      </c>
      <c r="J150" s="91"/>
      <c r="K150" s="91"/>
      <c r="L150" s="91"/>
      <c r="M150" s="91"/>
      <c r="N150" s="91"/>
      <c r="O150" s="91"/>
      <c r="P150" s="99" t="str">
        <f>IF('[1]Lists and Calcs (Hidden)'!AJ174="","",
                    IF(INDEX('[1]5. Assess Risks'!$G$6:$G$704,MATCH('[1]Lists and Calcs (Hidden)'!AJ174,'[1]Lists and Calcs (Hidden)'!$AB$34:$AB$732,0))="","",
                                    INDEX('[1]5. Assess Risks'!$G$6:$G$704,MATCH('[1]Lists and Calcs (Hidden)'!AJ174,'[1]Lists and Calcs (Hidden)'!$AB$34:$AB$732,0))
))</f>
        <v/>
      </c>
      <c r="Q150" s="99" t="str">
        <f>IF('[1]Lists and Calcs (Hidden)'!AJ174="","",
                    IF(INDEX('[1]5. Assess Risks'!$H$6:$H$704,MATCH('[1]Lists and Calcs (Hidden)'!AJ174,'[1]Lists and Calcs (Hidden)'!$AB$34:$AB$732,0))="","",
                                    INDEX('[1]5. Assess Risks'!$H$6:$H$704,MATCH('[1]Lists and Calcs (Hidden)'!AJ174,'[1]Lists and Calcs (Hidden)'!$AB$34:$AB$732,0))
))</f>
        <v/>
      </c>
      <c r="R150" s="100" t="str">
        <f>IFERROR(IF('[1]2. Prepare'!$O$50="Quantitative",INDEX('[1]Lists and Calcs (Hidden)'!$M$12:$Q$16,MATCH('[1]6. Risk Register Integration'!P150,'[1]Lists and Calcs (Hidden)'!$K$12:$K$16,0),MATCH('[1]6. Risk Register Integration'!Q150,'[1]Lists and Calcs (Hidden)'!$M$10:$Q$10,0)),INDEX('[1]Lists and Calcs (Hidden)'!$Z$12:$AD$16,MATCH('[1]6. Risk Register Integration'!P150,'[1]Lists and Calcs (Hidden)'!$X$12:$X$16,0),MATCH('[1]6. Risk Register Integration'!Q150,'[1]Lists and Calcs (Hidden)'!$Z$10:$AD$10,0))),"")</f>
        <v/>
      </c>
      <c r="S150" s="101" t="str">
        <f>IF('[1]Lists and Calcs (Hidden)'!AJ174="","",
                    IF(INDEX('[1]5. Assess Risks'!$J$6:$J$704,MATCH('[1]Lists and Calcs (Hidden)'!AJ174,'[1]Lists and Calcs (Hidden)'!$AB$34:$AB$732,0))="","",
                                    INDEX('[1]5. Assess Risks'!$J$6:$J$704,MATCH('[1]Lists and Calcs (Hidden)'!AJ174,'[1]Lists and Calcs (Hidden)'!$AB$34:$AB$732,0))
))</f>
        <v/>
      </c>
      <c r="T150" s="102"/>
      <c r="U150" s="105"/>
      <c r="V150" s="106"/>
      <c r="W150" s="105"/>
      <c r="X150" s="105"/>
      <c r="Y150" s="98" t="str">
        <f>IF('[1]Lists and Calcs (Hidden)'!AJ174="","",
                    IF(INDEX('[1]5. Assess Risks'!$L$6:$L$704,MATCH('[1]Lists and Calcs (Hidden)'!AJ174,'[1]Lists and Calcs (Hidden)'!$AB$34:$AB$732,0))="","",
                                    INDEX('[1]5. Assess Risks'!$L$6:$L$704,MATCH('[1]Lists and Calcs (Hidden)'!AJ174,'[1]Lists and Calcs (Hidden)'!$AB$34:$AB$732,0))
))</f>
        <v/>
      </c>
      <c r="Z150" s="95"/>
      <c r="AA150" s="96"/>
      <c r="AB150" s="85"/>
      <c r="AC150" s="86"/>
      <c r="AD150" s="87" t="str">
        <f>IFERROR(IF('[1]2. Prepare'!$O$50="Quantitative",INDEX('[1]Lists and Calcs (Hidden)'!$M$12:$Q$16,MATCH('[1]6. Risk Register Integration'!AB150,'[1]Lists and Calcs (Hidden)'!$K$12:$K$16,0),MATCH('[1]6. Risk Register Integration'!AC150,'[1]Lists and Calcs (Hidden)'!$M$10:$Q$10,0)),INDEX('[1]Lists and Calcs (Hidden)'!$Z$12:$AD$16,MATCH('[1]6. Risk Register Integration'!AB150,'[1]Lists and Calcs (Hidden)'!$X$12:$X$16,0),MATCH('[1]6. Risk Register Integration'!AC150,'[1]Lists and Calcs (Hidden)'!$Z$10:$AD$10,0))),"")</f>
        <v/>
      </c>
      <c r="AE150" s="54"/>
      <c r="AF150" s="4"/>
      <c r="AG150" s="4"/>
    </row>
    <row r="151" spans="2:33" ht="330" customHeight="1" x14ac:dyDescent="0.2">
      <c r="B151" s="107"/>
      <c r="C151" s="89" t="str">
        <f>IF('[1]Lists and Calcs (Hidden)'!AJ175="","",
                    IF(INDEX('[1]5. Assess Risks'!$B$6:$B$704,MATCH('[1]Lists and Calcs (Hidden)'!AJ175,'[1]Lists and Calcs (Hidden)'!$AB$34:$AB$732,0))="","",
                                    INDEX('[1]5. Assess Risks'!$B$6:$B$704,MATCH('[1]Lists and Calcs (Hidden)'!AJ175,'[1]Lists and Calcs (Hidden)'!$AB$34:$AB$732,0))
))</f>
        <v/>
      </c>
      <c r="D151" s="90" t="str">
        <f>IF(C151="", "", '[1]2. Prepare'!$E$6)</f>
        <v/>
      </c>
      <c r="E151" s="91"/>
      <c r="F151" s="91"/>
      <c r="G151" s="91"/>
      <c r="H151" s="91"/>
      <c r="I151" s="89" t="str">
        <f>IF('[1]Lists and Calcs (Hidden)'!AJ175="","",
                    IF(INDEX('[1]5. Assess Risks'!$D$6:$D$704,MATCH('[1]Lists and Calcs (Hidden)'!AJ175,'[1]Lists and Calcs (Hidden)'!$AB$34:$AB$732,0))="","",
                                    INDEX('[1]5. Assess Risks'!$D$6:$D$704,MATCH('[1]Lists and Calcs (Hidden)'!AJ175,'[1]Lists and Calcs (Hidden)'!$AB$34:$AB$732,0))
))</f>
        <v/>
      </c>
      <c r="J151" s="91"/>
      <c r="K151" s="91"/>
      <c r="L151" s="91"/>
      <c r="M151" s="91"/>
      <c r="N151" s="91"/>
      <c r="O151" s="91"/>
      <c r="P151" s="92" t="str">
        <f>IF('[1]Lists and Calcs (Hidden)'!AJ175="","",
                    IF(INDEX('[1]5. Assess Risks'!$G$6:$G$704,MATCH('[1]Lists and Calcs (Hidden)'!AJ175,'[1]Lists and Calcs (Hidden)'!$AB$34:$AB$732,0))="","",
                                    INDEX('[1]5. Assess Risks'!$G$6:$G$704,MATCH('[1]Lists and Calcs (Hidden)'!AJ175,'[1]Lists and Calcs (Hidden)'!$AB$34:$AB$732,0))
))</f>
        <v/>
      </c>
      <c r="Q151" s="92" t="str">
        <f>IF('[1]Lists and Calcs (Hidden)'!AJ175="","",
                    IF(INDEX('[1]5. Assess Risks'!$H$6:$H$704,MATCH('[1]Lists and Calcs (Hidden)'!AJ175,'[1]Lists and Calcs (Hidden)'!$AB$34:$AB$732,0))="","",
                                    INDEX('[1]5. Assess Risks'!$H$6:$H$704,MATCH('[1]Lists and Calcs (Hidden)'!AJ175,'[1]Lists and Calcs (Hidden)'!$AB$34:$AB$732,0))
))</f>
        <v/>
      </c>
      <c r="R151" s="93" t="str">
        <f>IFERROR(IF('[1]2. Prepare'!$O$50="Quantitative",INDEX('[1]Lists and Calcs (Hidden)'!$M$12:$Q$16,MATCH('[1]6. Risk Register Integration'!P151,'[1]Lists and Calcs (Hidden)'!$K$12:$K$16,0),MATCH('[1]6. Risk Register Integration'!Q151,'[1]Lists and Calcs (Hidden)'!$M$10:$Q$10,0)),INDEX('[1]Lists and Calcs (Hidden)'!$Z$12:$AD$16,MATCH('[1]6. Risk Register Integration'!P151,'[1]Lists and Calcs (Hidden)'!$X$12:$X$16,0),MATCH('[1]6. Risk Register Integration'!Q151,'[1]Lists and Calcs (Hidden)'!$Z$10:$AD$10,0))),"")</f>
        <v/>
      </c>
      <c r="S151" s="94" t="str">
        <f>IF('[1]Lists and Calcs (Hidden)'!AJ175="","",
                    IF(INDEX('[1]5. Assess Risks'!$J$6:$J$704,MATCH('[1]Lists and Calcs (Hidden)'!AJ175,'[1]Lists and Calcs (Hidden)'!$AB$34:$AB$732,0))="","",
                                    INDEX('[1]5. Assess Risks'!$J$6:$J$704,MATCH('[1]Lists and Calcs (Hidden)'!AJ175,'[1]Lists and Calcs (Hidden)'!$AB$34:$AB$732,0))
))</f>
        <v/>
      </c>
      <c r="T151" s="102"/>
      <c r="U151" s="105"/>
      <c r="V151" s="106"/>
      <c r="W151" s="105"/>
      <c r="X151" s="105"/>
      <c r="Y151" s="89" t="str">
        <f>IF('[1]Lists and Calcs (Hidden)'!AJ175="","",
                    IF(INDEX('[1]5. Assess Risks'!$L$6:$L$704,MATCH('[1]Lists and Calcs (Hidden)'!AJ175,'[1]Lists and Calcs (Hidden)'!$AB$34:$AB$732,0))="","",
                                    INDEX('[1]5. Assess Risks'!$L$6:$L$704,MATCH('[1]Lists and Calcs (Hidden)'!AJ175,'[1]Lists and Calcs (Hidden)'!$AB$34:$AB$732,0))
))</f>
        <v/>
      </c>
      <c r="Z151" s="95"/>
      <c r="AA151" s="96"/>
      <c r="AB151" s="85"/>
      <c r="AC151" s="86"/>
      <c r="AD151" s="87" t="str">
        <f>IFERROR(IF('[1]2. Prepare'!$O$50="Quantitative",INDEX('[1]Lists and Calcs (Hidden)'!$M$12:$Q$16,MATCH('[1]6. Risk Register Integration'!AB151,'[1]Lists and Calcs (Hidden)'!$K$12:$K$16,0),MATCH('[1]6. Risk Register Integration'!AC151,'[1]Lists and Calcs (Hidden)'!$M$10:$Q$10,0)),INDEX('[1]Lists and Calcs (Hidden)'!$Z$12:$AD$16,MATCH('[1]6. Risk Register Integration'!AB151,'[1]Lists and Calcs (Hidden)'!$X$12:$X$16,0),MATCH('[1]6. Risk Register Integration'!AC151,'[1]Lists and Calcs (Hidden)'!$Z$10:$AD$10,0))),"")</f>
        <v/>
      </c>
      <c r="AE151" s="54"/>
      <c r="AF151" s="4"/>
      <c r="AG151" s="4"/>
    </row>
    <row r="152" spans="2:33" ht="330" customHeight="1" x14ac:dyDescent="0.2">
      <c r="B152" s="107"/>
      <c r="C152" s="98" t="str">
        <f>IF('[1]Lists and Calcs (Hidden)'!AJ176="","",
                    IF(INDEX('[1]5. Assess Risks'!$B$6:$B$704,MATCH('[1]Lists and Calcs (Hidden)'!AJ176,'[1]Lists and Calcs (Hidden)'!$AB$34:$AB$732,0))="","",
                                    INDEX('[1]5. Assess Risks'!$B$6:$B$704,MATCH('[1]Lists and Calcs (Hidden)'!AJ176,'[1]Lists and Calcs (Hidden)'!$AB$34:$AB$732,0))
))</f>
        <v/>
      </c>
      <c r="D152" s="90" t="str">
        <f>IF(C152="", "", '[1]2. Prepare'!$E$6)</f>
        <v/>
      </c>
      <c r="E152" s="91"/>
      <c r="F152" s="91"/>
      <c r="G152" s="91"/>
      <c r="H152" s="91"/>
      <c r="I152" s="98" t="str">
        <f>IF('[1]Lists and Calcs (Hidden)'!AJ176="","",
                    IF(INDEX('[1]5. Assess Risks'!$D$6:$D$704,MATCH('[1]Lists and Calcs (Hidden)'!AJ176,'[1]Lists and Calcs (Hidden)'!$AB$34:$AB$732,0))="","",
                                    INDEX('[1]5. Assess Risks'!$D$6:$D$704,MATCH('[1]Lists and Calcs (Hidden)'!AJ176,'[1]Lists and Calcs (Hidden)'!$AB$34:$AB$732,0))
))</f>
        <v/>
      </c>
      <c r="J152" s="91"/>
      <c r="K152" s="91"/>
      <c r="L152" s="91"/>
      <c r="M152" s="91"/>
      <c r="N152" s="91"/>
      <c r="O152" s="91"/>
      <c r="P152" s="99" t="str">
        <f>IF('[1]Lists and Calcs (Hidden)'!AJ176="","",
                    IF(INDEX('[1]5. Assess Risks'!$G$6:$G$704,MATCH('[1]Lists and Calcs (Hidden)'!AJ176,'[1]Lists and Calcs (Hidden)'!$AB$34:$AB$732,0))="","",
                                    INDEX('[1]5. Assess Risks'!$G$6:$G$704,MATCH('[1]Lists and Calcs (Hidden)'!AJ176,'[1]Lists and Calcs (Hidden)'!$AB$34:$AB$732,0))
))</f>
        <v/>
      </c>
      <c r="Q152" s="99" t="str">
        <f>IF('[1]Lists and Calcs (Hidden)'!AJ176="","",
                    IF(INDEX('[1]5. Assess Risks'!$H$6:$H$704,MATCH('[1]Lists and Calcs (Hidden)'!AJ176,'[1]Lists and Calcs (Hidden)'!$AB$34:$AB$732,0))="","",
                                    INDEX('[1]5. Assess Risks'!$H$6:$H$704,MATCH('[1]Lists and Calcs (Hidden)'!AJ176,'[1]Lists and Calcs (Hidden)'!$AB$34:$AB$732,0))
))</f>
        <v/>
      </c>
      <c r="R152" s="100" t="str">
        <f>IFERROR(IF('[1]2. Prepare'!$O$50="Quantitative",INDEX('[1]Lists and Calcs (Hidden)'!$M$12:$Q$16,MATCH('[1]6. Risk Register Integration'!P152,'[1]Lists and Calcs (Hidden)'!$K$12:$K$16,0),MATCH('[1]6. Risk Register Integration'!Q152,'[1]Lists and Calcs (Hidden)'!$M$10:$Q$10,0)),INDEX('[1]Lists and Calcs (Hidden)'!$Z$12:$AD$16,MATCH('[1]6. Risk Register Integration'!P152,'[1]Lists and Calcs (Hidden)'!$X$12:$X$16,0),MATCH('[1]6. Risk Register Integration'!Q152,'[1]Lists and Calcs (Hidden)'!$Z$10:$AD$10,0))),"")</f>
        <v/>
      </c>
      <c r="S152" s="101" t="str">
        <f>IF('[1]Lists and Calcs (Hidden)'!AJ176="","",
                    IF(INDEX('[1]5. Assess Risks'!$J$6:$J$704,MATCH('[1]Lists and Calcs (Hidden)'!AJ176,'[1]Lists and Calcs (Hidden)'!$AB$34:$AB$732,0))="","",
                                    INDEX('[1]5. Assess Risks'!$J$6:$J$704,MATCH('[1]Lists and Calcs (Hidden)'!AJ176,'[1]Lists and Calcs (Hidden)'!$AB$34:$AB$732,0))
))</f>
        <v/>
      </c>
      <c r="T152" s="102"/>
      <c r="U152" s="105"/>
      <c r="V152" s="106"/>
      <c r="W152" s="105"/>
      <c r="X152" s="105"/>
      <c r="Y152" s="98" t="str">
        <f>IF('[1]Lists and Calcs (Hidden)'!AJ176="","",
                    IF(INDEX('[1]5. Assess Risks'!$L$6:$L$704,MATCH('[1]Lists and Calcs (Hidden)'!AJ176,'[1]Lists and Calcs (Hidden)'!$AB$34:$AB$732,0))="","",
                                    INDEX('[1]5. Assess Risks'!$L$6:$L$704,MATCH('[1]Lists and Calcs (Hidden)'!AJ176,'[1]Lists and Calcs (Hidden)'!$AB$34:$AB$732,0))
))</f>
        <v/>
      </c>
      <c r="Z152" s="95"/>
      <c r="AA152" s="96"/>
      <c r="AB152" s="85"/>
      <c r="AC152" s="86"/>
      <c r="AD152" s="87" t="str">
        <f>IFERROR(IF('[1]2. Prepare'!$O$50="Quantitative",INDEX('[1]Lists and Calcs (Hidden)'!$M$12:$Q$16,MATCH('[1]6. Risk Register Integration'!AB152,'[1]Lists and Calcs (Hidden)'!$K$12:$K$16,0),MATCH('[1]6. Risk Register Integration'!AC152,'[1]Lists and Calcs (Hidden)'!$M$10:$Q$10,0)),INDEX('[1]Lists and Calcs (Hidden)'!$Z$12:$AD$16,MATCH('[1]6. Risk Register Integration'!AB152,'[1]Lists and Calcs (Hidden)'!$X$12:$X$16,0),MATCH('[1]6. Risk Register Integration'!AC152,'[1]Lists and Calcs (Hidden)'!$Z$10:$AD$10,0))),"")</f>
        <v/>
      </c>
      <c r="AE152" s="54"/>
      <c r="AF152" s="4"/>
      <c r="AG152" s="4"/>
    </row>
    <row r="153" spans="2:33" ht="330" customHeight="1" x14ac:dyDescent="0.2">
      <c r="B153" s="108"/>
      <c r="C153" s="89" t="str">
        <f>IF('[1]Lists and Calcs (Hidden)'!AJ177="","",
                    IF(INDEX('[1]5. Assess Risks'!$B$6:$B$704,MATCH('[1]Lists and Calcs (Hidden)'!AJ177,'[1]Lists and Calcs (Hidden)'!$AB$34:$AB$732,0))="","",
                                    INDEX('[1]5. Assess Risks'!$B$6:$B$704,MATCH('[1]Lists and Calcs (Hidden)'!AJ177,'[1]Lists and Calcs (Hidden)'!$AB$34:$AB$732,0))
))</f>
        <v/>
      </c>
      <c r="D153" s="90" t="str">
        <f>IF(C153="", "", '[1]2. Prepare'!$E$6)</f>
        <v/>
      </c>
      <c r="E153" s="91"/>
      <c r="F153" s="91"/>
      <c r="G153" s="91"/>
      <c r="H153" s="91"/>
      <c r="I153" s="89" t="str">
        <f>IF('[1]Lists and Calcs (Hidden)'!AJ177="","",
                    IF(INDEX('[1]5. Assess Risks'!$D$6:$D$704,MATCH('[1]Lists and Calcs (Hidden)'!AJ177,'[1]Lists and Calcs (Hidden)'!$AB$34:$AB$732,0))="","",
                                    INDEX('[1]5. Assess Risks'!$D$6:$D$704,MATCH('[1]Lists and Calcs (Hidden)'!AJ177,'[1]Lists and Calcs (Hidden)'!$AB$34:$AB$732,0))
))</f>
        <v/>
      </c>
      <c r="J153" s="91"/>
      <c r="K153" s="91"/>
      <c r="L153" s="91"/>
      <c r="M153" s="91"/>
      <c r="N153" s="91"/>
      <c r="O153" s="91"/>
      <c r="P153" s="92" t="str">
        <f>IF('[1]Lists and Calcs (Hidden)'!AJ177="","",
                    IF(INDEX('[1]5. Assess Risks'!$G$6:$G$704,MATCH('[1]Lists and Calcs (Hidden)'!AJ177,'[1]Lists and Calcs (Hidden)'!$AB$34:$AB$732,0))="","",
                                    INDEX('[1]5. Assess Risks'!$G$6:$G$704,MATCH('[1]Lists and Calcs (Hidden)'!AJ177,'[1]Lists and Calcs (Hidden)'!$AB$34:$AB$732,0))
))</f>
        <v/>
      </c>
      <c r="Q153" s="92" t="str">
        <f>IF('[1]Lists and Calcs (Hidden)'!AJ177="","",
                    IF(INDEX('[1]5. Assess Risks'!$H$6:$H$704,MATCH('[1]Lists and Calcs (Hidden)'!AJ177,'[1]Lists and Calcs (Hidden)'!$AB$34:$AB$732,0))="","",
                                    INDEX('[1]5. Assess Risks'!$H$6:$H$704,MATCH('[1]Lists and Calcs (Hidden)'!AJ177,'[1]Lists and Calcs (Hidden)'!$AB$34:$AB$732,0))
))</f>
        <v/>
      </c>
      <c r="R153" s="93" t="str">
        <f>IFERROR(IF('[1]2. Prepare'!$O$50="Quantitative",INDEX('[1]Lists and Calcs (Hidden)'!$M$12:$Q$16,MATCH('[1]6. Risk Register Integration'!P153,'[1]Lists and Calcs (Hidden)'!$K$12:$K$16,0),MATCH('[1]6. Risk Register Integration'!Q153,'[1]Lists and Calcs (Hidden)'!$M$10:$Q$10,0)),INDEX('[1]Lists and Calcs (Hidden)'!$Z$12:$AD$16,MATCH('[1]6. Risk Register Integration'!P153,'[1]Lists and Calcs (Hidden)'!$X$12:$X$16,0),MATCH('[1]6. Risk Register Integration'!Q153,'[1]Lists and Calcs (Hidden)'!$Z$10:$AD$10,0))),"")</f>
        <v/>
      </c>
      <c r="S153" s="94" t="str">
        <f>IF('[1]Lists and Calcs (Hidden)'!AJ177="","",
                    IF(INDEX('[1]5. Assess Risks'!$J$6:$J$704,MATCH('[1]Lists and Calcs (Hidden)'!AJ177,'[1]Lists and Calcs (Hidden)'!$AB$34:$AB$732,0))="","",
                                    INDEX('[1]5. Assess Risks'!$J$6:$J$704,MATCH('[1]Lists and Calcs (Hidden)'!AJ177,'[1]Lists and Calcs (Hidden)'!$AB$34:$AB$732,0))
))</f>
        <v/>
      </c>
      <c r="T153" s="102"/>
      <c r="U153" s="105"/>
      <c r="V153" s="106"/>
      <c r="W153" s="105"/>
      <c r="X153" s="105"/>
      <c r="Y153" s="89" t="str">
        <f>IF('[1]Lists and Calcs (Hidden)'!AJ177="","",
                    IF(INDEX('[1]5. Assess Risks'!$L$6:$L$704,MATCH('[1]Lists and Calcs (Hidden)'!AJ177,'[1]Lists and Calcs (Hidden)'!$AB$34:$AB$732,0))="","",
                                    INDEX('[1]5. Assess Risks'!$L$6:$L$704,MATCH('[1]Lists and Calcs (Hidden)'!AJ177,'[1]Lists and Calcs (Hidden)'!$AB$34:$AB$732,0))
))</f>
        <v/>
      </c>
      <c r="Z153" s="95"/>
      <c r="AA153" s="96"/>
      <c r="AB153" s="85"/>
      <c r="AC153" s="86"/>
      <c r="AD153" s="87" t="str">
        <f>IFERROR(IF('[1]2. Prepare'!$O$50="Quantitative",INDEX('[1]Lists and Calcs (Hidden)'!$M$12:$Q$16,MATCH('[1]6. Risk Register Integration'!AB153,'[1]Lists and Calcs (Hidden)'!$K$12:$K$16,0),MATCH('[1]6. Risk Register Integration'!AC153,'[1]Lists and Calcs (Hidden)'!$M$10:$Q$10,0)),INDEX('[1]Lists and Calcs (Hidden)'!$Z$12:$AD$16,MATCH('[1]6. Risk Register Integration'!AB153,'[1]Lists and Calcs (Hidden)'!$X$12:$X$16,0),MATCH('[1]6. Risk Register Integration'!AC153,'[1]Lists and Calcs (Hidden)'!$Z$10:$AD$10,0))),"")</f>
        <v/>
      </c>
      <c r="AE153" s="54"/>
      <c r="AF153" s="4"/>
      <c r="AG153" s="4"/>
    </row>
    <row r="154" spans="2:33" ht="330" customHeight="1" x14ac:dyDescent="0.2">
      <c r="B154" s="107"/>
      <c r="C154" s="98" t="str">
        <f>IF('[1]Lists and Calcs (Hidden)'!AJ178="","",
                    IF(INDEX('[1]5. Assess Risks'!$B$6:$B$704,MATCH('[1]Lists and Calcs (Hidden)'!AJ178,'[1]Lists and Calcs (Hidden)'!$AB$34:$AB$732,0))="","",
                                    INDEX('[1]5. Assess Risks'!$B$6:$B$704,MATCH('[1]Lists and Calcs (Hidden)'!AJ178,'[1]Lists and Calcs (Hidden)'!$AB$34:$AB$732,0))
))</f>
        <v/>
      </c>
      <c r="D154" s="90" t="str">
        <f>IF(C154="", "", '[1]2. Prepare'!$E$6)</f>
        <v/>
      </c>
      <c r="E154" s="91"/>
      <c r="F154" s="91"/>
      <c r="G154" s="91"/>
      <c r="H154" s="91"/>
      <c r="I154" s="98" t="str">
        <f>IF('[1]Lists and Calcs (Hidden)'!AJ178="","",
                    IF(INDEX('[1]5. Assess Risks'!$D$6:$D$704,MATCH('[1]Lists and Calcs (Hidden)'!AJ178,'[1]Lists and Calcs (Hidden)'!$AB$34:$AB$732,0))="","",
                                    INDEX('[1]5. Assess Risks'!$D$6:$D$704,MATCH('[1]Lists and Calcs (Hidden)'!AJ178,'[1]Lists and Calcs (Hidden)'!$AB$34:$AB$732,0))
))</f>
        <v/>
      </c>
      <c r="J154" s="91"/>
      <c r="K154" s="91"/>
      <c r="L154" s="91"/>
      <c r="M154" s="91"/>
      <c r="N154" s="91"/>
      <c r="O154" s="91"/>
      <c r="P154" s="99" t="str">
        <f>IF('[1]Lists and Calcs (Hidden)'!AJ178="","",
                    IF(INDEX('[1]5. Assess Risks'!$G$6:$G$704,MATCH('[1]Lists and Calcs (Hidden)'!AJ178,'[1]Lists and Calcs (Hidden)'!$AB$34:$AB$732,0))="","",
                                    INDEX('[1]5. Assess Risks'!$G$6:$G$704,MATCH('[1]Lists and Calcs (Hidden)'!AJ178,'[1]Lists and Calcs (Hidden)'!$AB$34:$AB$732,0))
))</f>
        <v/>
      </c>
      <c r="Q154" s="99" t="str">
        <f>IF('[1]Lists and Calcs (Hidden)'!AJ178="","",
                    IF(INDEX('[1]5. Assess Risks'!$H$6:$H$704,MATCH('[1]Lists and Calcs (Hidden)'!AJ178,'[1]Lists and Calcs (Hidden)'!$AB$34:$AB$732,0))="","",
                                    INDEX('[1]5. Assess Risks'!$H$6:$H$704,MATCH('[1]Lists and Calcs (Hidden)'!AJ178,'[1]Lists and Calcs (Hidden)'!$AB$34:$AB$732,0))
))</f>
        <v/>
      </c>
      <c r="R154" s="100" t="str">
        <f>IFERROR(IF('[1]2. Prepare'!$O$50="Quantitative",INDEX('[1]Lists and Calcs (Hidden)'!$M$12:$Q$16,MATCH('[1]6. Risk Register Integration'!P154,'[1]Lists and Calcs (Hidden)'!$K$12:$K$16,0),MATCH('[1]6. Risk Register Integration'!Q154,'[1]Lists and Calcs (Hidden)'!$M$10:$Q$10,0)),INDEX('[1]Lists and Calcs (Hidden)'!$Z$12:$AD$16,MATCH('[1]6. Risk Register Integration'!P154,'[1]Lists and Calcs (Hidden)'!$X$12:$X$16,0),MATCH('[1]6. Risk Register Integration'!Q154,'[1]Lists and Calcs (Hidden)'!$Z$10:$AD$10,0))),"")</f>
        <v/>
      </c>
      <c r="S154" s="101" t="str">
        <f>IF('[1]Lists and Calcs (Hidden)'!AJ178="","",
                    IF(INDEX('[1]5. Assess Risks'!$J$6:$J$704,MATCH('[1]Lists and Calcs (Hidden)'!AJ178,'[1]Lists and Calcs (Hidden)'!$AB$34:$AB$732,0))="","",
                                    INDEX('[1]5. Assess Risks'!$J$6:$J$704,MATCH('[1]Lists and Calcs (Hidden)'!AJ178,'[1]Lists and Calcs (Hidden)'!$AB$34:$AB$732,0))
))</f>
        <v/>
      </c>
      <c r="T154" s="102"/>
      <c r="U154" s="105"/>
      <c r="V154" s="106"/>
      <c r="W154" s="105"/>
      <c r="X154" s="105"/>
      <c r="Y154" s="98" t="str">
        <f>IF('[1]Lists and Calcs (Hidden)'!AJ178="","",
                    IF(INDEX('[1]5. Assess Risks'!$L$6:$L$704,MATCH('[1]Lists and Calcs (Hidden)'!AJ178,'[1]Lists and Calcs (Hidden)'!$AB$34:$AB$732,0))="","",
                                    INDEX('[1]5. Assess Risks'!$L$6:$L$704,MATCH('[1]Lists and Calcs (Hidden)'!AJ178,'[1]Lists and Calcs (Hidden)'!$AB$34:$AB$732,0))
))</f>
        <v/>
      </c>
      <c r="Z154" s="95"/>
      <c r="AA154" s="96"/>
      <c r="AB154" s="85"/>
      <c r="AC154" s="86"/>
      <c r="AD154" s="87" t="str">
        <f>IFERROR(IF('[1]2. Prepare'!$O$50="Quantitative",INDEX('[1]Lists and Calcs (Hidden)'!$M$12:$Q$16,MATCH('[1]6. Risk Register Integration'!AB154,'[1]Lists and Calcs (Hidden)'!$K$12:$K$16,0),MATCH('[1]6. Risk Register Integration'!AC154,'[1]Lists and Calcs (Hidden)'!$M$10:$Q$10,0)),INDEX('[1]Lists and Calcs (Hidden)'!$Z$12:$AD$16,MATCH('[1]6. Risk Register Integration'!AB154,'[1]Lists and Calcs (Hidden)'!$X$12:$X$16,0),MATCH('[1]6. Risk Register Integration'!AC154,'[1]Lists and Calcs (Hidden)'!$Z$10:$AD$10,0))),"")</f>
        <v/>
      </c>
      <c r="AE154" s="54"/>
      <c r="AF154" s="4"/>
      <c r="AG154" s="4"/>
    </row>
    <row r="155" spans="2:33" ht="330" customHeight="1" x14ac:dyDescent="0.2">
      <c r="B155" s="107"/>
      <c r="C155" s="89" t="str">
        <f>IF('[1]Lists and Calcs (Hidden)'!AJ179="","",
                    IF(INDEX('[1]5. Assess Risks'!$B$6:$B$704,MATCH('[1]Lists and Calcs (Hidden)'!AJ179,'[1]Lists and Calcs (Hidden)'!$AB$34:$AB$732,0))="","",
                                    INDEX('[1]5. Assess Risks'!$B$6:$B$704,MATCH('[1]Lists and Calcs (Hidden)'!AJ179,'[1]Lists and Calcs (Hidden)'!$AB$34:$AB$732,0))
))</f>
        <v/>
      </c>
      <c r="D155" s="90" t="str">
        <f>IF(C155="", "", '[1]2. Prepare'!$E$6)</f>
        <v/>
      </c>
      <c r="E155" s="91"/>
      <c r="F155" s="91"/>
      <c r="G155" s="91"/>
      <c r="H155" s="91"/>
      <c r="I155" s="89" t="str">
        <f>IF('[1]Lists and Calcs (Hidden)'!AJ179="","",
                    IF(INDEX('[1]5. Assess Risks'!$D$6:$D$704,MATCH('[1]Lists and Calcs (Hidden)'!AJ179,'[1]Lists and Calcs (Hidden)'!$AB$34:$AB$732,0))="","",
                                    INDEX('[1]5. Assess Risks'!$D$6:$D$704,MATCH('[1]Lists and Calcs (Hidden)'!AJ179,'[1]Lists and Calcs (Hidden)'!$AB$34:$AB$732,0))
))</f>
        <v/>
      </c>
      <c r="J155" s="91"/>
      <c r="K155" s="91"/>
      <c r="L155" s="91"/>
      <c r="M155" s="91"/>
      <c r="N155" s="91"/>
      <c r="O155" s="91"/>
      <c r="P155" s="99" t="str">
        <f>IF('[1]Lists and Calcs (Hidden)'!AJ179="","",
                    IF(INDEX('[1]5. Assess Risks'!$G$6:$G$704,MATCH('[1]Lists and Calcs (Hidden)'!AJ179,'[1]Lists and Calcs (Hidden)'!$AB$34:$AB$732,0))="","",
                                    INDEX('[1]5. Assess Risks'!$G$6:$G$704,MATCH('[1]Lists and Calcs (Hidden)'!AJ179,'[1]Lists and Calcs (Hidden)'!$AB$34:$AB$732,0))
))</f>
        <v/>
      </c>
      <c r="Q155" s="99" t="str">
        <f>IF('[1]Lists and Calcs (Hidden)'!AJ179="","",
                    IF(INDEX('[1]5. Assess Risks'!$H$6:$H$704,MATCH('[1]Lists and Calcs (Hidden)'!AJ179,'[1]Lists and Calcs (Hidden)'!$AB$34:$AB$732,0))="","",
                                    INDEX('[1]5. Assess Risks'!$H$6:$H$704,MATCH('[1]Lists and Calcs (Hidden)'!AJ179,'[1]Lists and Calcs (Hidden)'!$AB$34:$AB$732,0))
))</f>
        <v/>
      </c>
      <c r="R155" s="100" t="str">
        <f>IFERROR(IF('[1]2. Prepare'!$O$50="Quantitative",INDEX('[1]Lists and Calcs (Hidden)'!$M$12:$Q$16,MATCH('[1]6. Risk Register Integration'!P155,'[1]Lists and Calcs (Hidden)'!$K$12:$K$16,0),MATCH('[1]6. Risk Register Integration'!Q155,'[1]Lists and Calcs (Hidden)'!$M$10:$Q$10,0)),INDEX('[1]Lists and Calcs (Hidden)'!$Z$12:$AD$16,MATCH('[1]6. Risk Register Integration'!P155,'[1]Lists and Calcs (Hidden)'!$X$12:$X$16,0),MATCH('[1]6. Risk Register Integration'!Q155,'[1]Lists and Calcs (Hidden)'!$Z$10:$AD$10,0))),"")</f>
        <v/>
      </c>
      <c r="S155" s="101" t="str">
        <f>IF('[1]Lists and Calcs (Hidden)'!AJ179="","",
                    IF(INDEX('[1]5. Assess Risks'!$J$6:$J$704,MATCH('[1]Lists and Calcs (Hidden)'!AJ179,'[1]Lists and Calcs (Hidden)'!$AB$34:$AB$732,0))="","",
                                    INDEX('[1]5. Assess Risks'!$J$6:$J$704,MATCH('[1]Lists and Calcs (Hidden)'!AJ179,'[1]Lists and Calcs (Hidden)'!$AB$34:$AB$732,0))
))</f>
        <v/>
      </c>
      <c r="T155" s="102"/>
      <c r="U155" s="105"/>
      <c r="V155" s="106"/>
      <c r="W155" s="105"/>
      <c r="X155" s="105"/>
      <c r="Y155" s="89" t="str">
        <f>IF('[1]Lists and Calcs (Hidden)'!AJ179="","",
                    IF(INDEX('[1]5. Assess Risks'!$L$6:$L$704,MATCH('[1]Lists and Calcs (Hidden)'!AJ179,'[1]Lists and Calcs (Hidden)'!$AB$34:$AB$732,0))="","",
                                    INDEX('[1]5. Assess Risks'!$L$6:$L$704,MATCH('[1]Lists and Calcs (Hidden)'!AJ179,'[1]Lists and Calcs (Hidden)'!$AB$34:$AB$732,0))
))</f>
        <v/>
      </c>
      <c r="Z155" s="95"/>
      <c r="AA155" s="96"/>
      <c r="AB155" s="85"/>
      <c r="AC155" s="86"/>
      <c r="AD155" s="87" t="str">
        <f>IFERROR(IF('[1]2. Prepare'!$O$50="Quantitative",INDEX('[1]Lists and Calcs (Hidden)'!$M$12:$Q$16,MATCH('[1]6. Risk Register Integration'!AB155,'[1]Lists and Calcs (Hidden)'!$K$12:$K$16,0),MATCH('[1]6. Risk Register Integration'!AC155,'[1]Lists and Calcs (Hidden)'!$M$10:$Q$10,0)),INDEX('[1]Lists and Calcs (Hidden)'!$Z$12:$AD$16,MATCH('[1]6. Risk Register Integration'!AB155,'[1]Lists and Calcs (Hidden)'!$X$12:$X$16,0),MATCH('[1]6. Risk Register Integration'!AC155,'[1]Lists and Calcs (Hidden)'!$Z$10:$AD$10,0))),"")</f>
        <v/>
      </c>
      <c r="AE155" s="54"/>
      <c r="AF155" s="4"/>
      <c r="AG155" s="4"/>
    </row>
    <row r="156" spans="2:33" ht="330" customHeight="1" x14ac:dyDescent="0.2">
      <c r="B156" s="107"/>
      <c r="C156" s="98" t="str">
        <f>IF('[1]Lists and Calcs (Hidden)'!AJ180="","",
                    IF(INDEX('[1]5. Assess Risks'!$B$6:$B$704,MATCH('[1]Lists and Calcs (Hidden)'!AJ180,'[1]Lists and Calcs (Hidden)'!$AB$34:$AB$732,0))="","",
                                    INDEX('[1]5. Assess Risks'!$B$6:$B$704,MATCH('[1]Lists and Calcs (Hidden)'!AJ180,'[1]Lists and Calcs (Hidden)'!$AB$34:$AB$732,0))
))</f>
        <v/>
      </c>
      <c r="D156" s="90" t="str">
        <f>IF(C156="", "", '[1]2. Prepare'!$E$6)</f>
        <v/>
      </c>
      <c r="E156" s="91"/>
      <c r="F156" s="91"/>
      <c r="G156" s="91"/>
      <c r="H156" s="91"/>
      <c r="I156" s="98" t="str">
        <f>IF('[1]Lists and Calcs (Hidden)'!AJ180="","",
                    IF(INDEX('[1]5. Assess Risks'!$D$6:$D$704,MATCH('[1]Lists and Calcs (Hidden)'!AJ180,'[1]Lists and Calcs (Hidden)'!$AB$34:$AB$732,0))="","",
                                    INDEX('[1]5. Assess Risks'!$D$6:$D$704,MATCH('[1]Lists and Calcs (Hidden)'!AJ180,'[1]Lists and Calcs (Hidden)'!$AB$34:$AB$732,0))
))</f>
        <v/>
      </c>
      <c r="J156" s="91"/>
      <c r="K156" s="91"/>
      <c r="L156" s="91"/>
      <c r="M156" s="91"/>
      <c r="N156" s="91"/>
      <c r="O156" s="91"/>
      <c r="P156" s="92" t="str">
        <f>IF('[1]Lists and Calcs (Hidden)'!AJ180="","",
                    IF(INDEX('[1]5. Assess Risks'!$G$6:$G$704,MATCH('[1]Lists and Calcs (Hidden)'!AJ180,'[1]Lists and Calcs (Hidden)'!$AB$34:$AB$732,0))="","",
                                    INDEX('[1]5. Assess Risks'!$G$6:$G$704,MATCH('[1]Lists and Calcs (Hidden)'!AJ180,'[1]Lists and Calcs (Hidden)'!$AB$34:$AB$732,0))
))</f>
        <v/>
      </c>
      <c r="Q156" s="92" t="str">
        <f>IF('[1]Lists and Calcs (Hidden)'!AJ180="","",
                    IF(INDEX('[1]5. Assess Risks'!$H$6:$H$704,MATCH('[1]Lists and Calcs (Hidden)'!AJ180,'[1]Lists and Calcs (Hidden)'!$AB$34:$AB$732,0))="","",
                                    INDEX('[1]5. Assess Risks'!$H$6:$H$704,MATCH('[1]Lists and Calcs (Hidden)'!AJ180,'[1]Lists and Calcs (Hidden)'!$AB$34:$AB$732,0))
))</f>
        <v/>
      </c>
      <c r="R156" s="93" t="str">
        <f>IFERROR(IF('[1]2. Prepare'!$O$50="Quantitative",INDEX('[1]Lists and Calcs (Hidden)'!$M$12:$Q$16,MATCH('[1]6. Risk Register Integration'!P156,'[1]Lists and Calcs (Hidden)'!$K$12:$K$16,0),MATCH('[1]6. Risk Register Integration'!Q156,'[1]Lists and Calcs (Hidden)'!$M$10:$Q$10,0)),INDEX('[1]Lists and Calcs (Hidden)'!$Z$12:$AD$16,MATCH('[1]6. Risk Register Integration'!P156,'[1]Lists and Calcs (Hidden)'!$X$12:$X$16,0),MATCH('[1]6. Risk Register Integration'!Q156,'[1]Lists and Calcs (Hidden)'!$Z$10:$AD$10,0))),"")</f>
        <v/>
      </c>
      <c r="S156" s="94" t="str">
        <f>IF('[1]Lists and Calcs (Hidden)'!AJ180="","",
                    IF(INDEX('[1]5. Assess Risks'!$J$6:$J$704,MATCH('[1]Lists and Calcs (Hidden)'!AJ180,'[1]Lists and Calcs (Hidden)'!$AB$34:$AB$732,0))="","",
                                    INDEX('[1]5. Assess Risks'!$J$6:$J$704,MATCH('[1]Lists and Calcs (Hidden)'!AJ180,'[1]Lists and Calcs (Hidden)'!$AB$34:$AB$732,0))
))</f>
        <v/>
      </c>
      <c r="T156" s="102"/>
      <c r="U156" s="105"/>
      <c r="V156" s="106"/>
      <c r="W156" s="105"/>
      <c r="X156" s="105"/>
      <c r="Y156" s="98" t="str">
        <f>IF('[1]Lists and Calcs (Hidden)'!AJ180="","",
                    IF(INDEX('[1]5. Assess Risks'!$L$6:$L$704,MATCH('[1]Lists and Calcs (Hidden)'!AJ180,'[1]Lists and Calcs (Hidden)'!$AB$34:$AB$732,0))="","",
                                    INDEX('[1]5. Assess Risks'!$L$6:$L$704,MATCH('[1]Lists and Calcs (Hidden)'!AJ180,'[1]Lists and Calcs (Hidden)'!$AB$34:$AB$732,0))
))</f>
        <v/>
      </c>
      <c r="Z156" s="95"/>
      <c r="AA156" s="96"/>
      <c r="AB156" s="85"/>
      <c r="AC156" s="86"/>
      <c r="AD156" s="87" t="str">
        <f>IFERROR(IF('[1]2. Prepare'!$O$50="Quantitative",INDEX('[1]Lists and Calcs (Hidden)'!$M$12:$Q$16,MATCH('[1]6. Risk Register Integration'!AB156,'[1]Lists and Calcs (Hidden)'!$K$12:$K$16,0),MATCH('[1]6. Risk Register Integration'!AC156,'[1]Lists and Calcs (Hidden)'!$M$10:$Q$10,0)),INDEX('[1]Lists and Calcs (Hidden)'!$Z$12:$AD$16,MATCH('[1]6. Risk Register Integration'!AB156,'[1]Lists and Calcs (Hidden)'!$X$12:$X$16,0),MATCH('[1]6. Risk Register Integration'!AC156,'[1]Lists and Calcs (Hidden)'!$Z$10:$AD$10,0))),"")</f>
        <v/>
      </c>
      <c r="AE156" s="54"/>
      <c r="AF156" s="4"/>
      <c r="AG156" s="4"/>
    </row>
    <row r="157" spans="2:33" ht="330" customHeight="1" x14ac:dyDescent="0.2">
      <c r="B157" s="107"/>
      <c r="C157" s="89" t="str">
        <f>IF('[1]Lists and Calcs (Hidden)'!AJ181="","",
                    IF(INDEX('[1]5. Assess Risks'!$B$6:$B$704,MATCH('[1]Lists and Calcs (Hidden)'!AJ181,'[1]Lists and Calcs (Hidden)'!$AB$34:$AB$732,0))="","",
                                    INDEX('[1]5. Assess Risks'!$B$6:$B$704,MATCH('[1]Lists and Calcs (Hidden)'!AJ181,'[1]Lists and Calcs (Hidden)'!$AB$34:$AB$732,0))
))</f>
        <v/>
      </c>
      <c r="D157" s="90" t="str">
        <f>IF(C157="", "", '[1]2. Prepare'!$E$6)</f>
        <v/>
      </c>
      <c r="E157" s="91"/>
      <c r="F157" s="91"/>
      <c r="G157" s="91"/>
      <c r="H157" s="91"/>
      <c r="I157" s="89" t="str">
        <f>IF('[1]Lists and Calcs (Hidden)'!AJ181="","",
                    IF(INDEX('[1]5. Assess Risks'!$D$6:$D$704,MATCH('[1]Lists and Calcs (Hidden)'!AJ181,'[1]Lists and Calcs (Hidden)'!$AB$34:$AB$732,0))="","",
                                    INDEX('[1]5. Assess Risks'!$D$6:$D$704,MATCH('[1]Lists and Calcs (Hidden)'!AJ181,'[1]Lists and Calcs (Hidden)'!$AB$34:$AB$732,0))
))</f>
        <v/>
      </c>
      <c r="J157" s="91"/>
      <c r="K157" s="91"/>
      <c r="L157" s="91"/>
      <c r="M157" s="91"/>
      <c r="N157" s="91"/>
      <c r="O157" s="91"/>
      <c r="P157" s="99" t="str">
        <f>IF('[1]Lists and Calcs (Hidden)'!AJ181="","",
                    IF(INDEX('[1]5. Assess Risks'!$G$6:$G$704,MATCH('[1]Lists and Calcs (Hidden)'!AJ181,'[1]Lists and Calcs (Hidden)'!$AB$34:$AB$732,0))="","",
                                    INDEX('[1]5. Assess Risks'!$G$6:$G$704,MATCH('[1]Lists and Calcs (Hidden)'!AJ181,'[1]Lists and Calcs (Hidden)'!$AB$34:$AB$732,0))
))</f>
        <v/>
      </c>
      <c r="Q157" s="99" t="str">
        <f>IF('[1]Lists and Calcs (Hidden)'!AJ181="","",
                    IF(INDEX('[1]5. Assess Risks'!$H$6:$H$704,MATCH('[1]Lists and Calcs (Hidden)'!AJ181,'[1]Lists and Calcs (Hidden)'!$AB$34:$AB$732,0))="","",
                                    INDEX('[1]5. Assess Risks'!$H$6:$H$704,MATCH('[1]Lists and Calcs (Hidden)'!AJ181,'[1]Lists and Calcs (Hidden)'!$AB$34:$AB$732,0))
))</f>
        <v/>
      </c>
      <c r="R157" s="100" t="str">
        <f>IFERROR(IF('[1]2. Prepare'!$O$50="Quantitative",INDEX('[1]Lists and Calcs (Hidden)'!$M$12:$Q$16,MATCH('[1]6. Risk Register Integration'!P157,'[1]Lists and Calcs (Hidden)'!$K$12:$K$16,0),MATCH('[1]6. Risk Register Integration'!Q157,'[1]Lists and Calcs (Hidden)'!$M$10:$Q$10,0)),INDEX('[1]Lists and Calcs (Hidden)'!$Z$12:$AD$16,MATCH('[1]6. Risk Register Integration'!P157,'[1]Lists and Calcs (Hidden)'!$X$12:$X$16,0),MATCH('[1]6. Risk Register Integration'!Q157,'[1]Lists and Calcs (Hidden)'!$Z$10:$AD$10,0))),"")</f>
        <v/>
      </c>
      <c r="S157" s="101" t="str">
        <f>IF('[1]Lists and Calcs (Hidden)'!AJ181="","",
                    IF(INDEX('[1]5. Assess Risks'!$J$6:$J$704,MATCH('[1]Lists and Calcs (Hidden)'!AJ181,'[1]Lists and Calcs (Hidden)'!$AB$34:$AB$732,0))="","",
                                    INDEX('[1]5. Assess Risks'!$J$6:$J$704,MATCH('[1]Lists and Calcs (Hidden)'!AJ181,'[1]Lists and Calcs (Hidden)'!$AB$34:$AB$732,0))
))</f>
        <v/>
      </c>
      <c r="T157" s="102"/>
      <c r="U157" s="105"/>
      <c r="V157" s="106"/>
      <c r="W157" s="105"/>
      <c r="X157" s="105"/>
      <c r="Y157" s="89" t="str">
        <f>IF('[1]Lists and Calcs (Hidden)'!AJ181="","",
                    IF(INDEX('[1]5. Assess Risks'!$L$6:$L$704,MATCH('[1]Lists and Calcs (Hidden)'!AJ181,'[1]Lists and Calcs (Hidden)'!$AB$34:$AB$732,0))="","",
                                    INDEX('[1]5. Assess Risks'!$L$6:$L$704,MATCH('[1]Lists and Calcs (Hidden)'!AJ181,'[1]Lists and Calcs (Hidden)'!$AB$34:$AB$732,0))
))</f>
        <v/>
      </c>
      <c r="Z157" s="95"/>
      <c r="AA157" s="96"/>
      <c r="AB157" s="85"/>
      <c r="AC157" s="86"/>
      <c r="AD157" s="87" t="str">
        <f>IFERROR(IF('[1]2. Prepare'!$O$50="Quantitative",INDEX('[1]Lists and Calcs (Hidden)'!$M$12:$Q$16,MATCH('[1]6. Risk Register Integration'!AB157,'[1]Lists and Calcs (Hidden)'!$K$12:$K$16,0),MATCH('[1]6. Risk Register Integration'!AC157,'[1]Lists and Calcs (Hidden)'!$M$10:$Q$10,0)),INDEX('[1]Lists and Calcs (Hidden)'!$Z$12:$AD$16,MATCH('[1]6. Risk Register Integration'!AB157,'[1]Lists and Calcs (Hidden)'!$X$12:$X$16,0),MATCH('[1]6. Risk Register Integration'!AC157,'[1]Lists and Calcs (Hidden)'!$Z$10:$AD$10,0))),"")</f>
        <v/>
      </c>
      <c r="AE157" s="54"/>
      <c r="AF157" s="4"/>
      <c r="AG157" s="4"/>
    </row>
    <row r="158" spans="2:33" ht="330" customHeight="1" x14ac:dyDescent="0.2">
      <c r="B158" s="107"/>
      <c r="C158" s="98" t="str">
        <f>IF('[1]Lists and Calcs (Hidden)'!AJ182="","",
                    IF(INDEX('[1]5. Assess Risks'!$B$6:$B$704,MATCH('[1]Lists and Calcs (Hidden)'!AJ182,'[1]Lists and Calcs (Hidden)'!$AB$34:$AB$732,0))="","",
                                    INDEX('[1]5. Assess Risks'!$B$6:$B$704,MATCH('[1]Lists and Calcs (Hidden)'!AJ182,'[1]Lists and Calcs (Hidden)'!$AB$34:$AB$732,0))
))</f>
        <v/>
      </c>
      <c r="D158" s="90" t="str">
        <f>IF(C158="", "", '[1]2. Prepare'!$E$6)</f>
        <v/>
      </c>
      <c r="E158" s="91"/>
      <c r="F158" s="91"/>
      <c r="G158" s="91"/>
      <c r="H158" s="91"/>
      <c r="I158" s="98" t="str">
        <f>IF('[1]Lists and Calcs (Hidden)'!AJ182="","",
                    IF(INDEX('[1]5. Assess Risks'!$D$6:$D$704,MATCH('[1]Lists and Calcs (Hidden)'!AJ182,'[1]Lists and Calcs (Hidden)'!$AB$34:$AB$732,0))="","",
                                    INDEX('[1]5. Assess Risks'!$D$6:$D$704,MATCH('[1]Lists and Calcs (Hidden)'!AJ182,'[1]Lists and Calcs (Hidden)'!$AB$34:$AB$732,0))
))</f>
        <v/>
      </c>
      <c r="J158" s="91"/>
      <c r="K158" s="91"/>
      <c r="L158" s="91"/>
      <c r="M158" s="91"/>
      <c r="N158" s="91"/>
      <c r="O158" s="91"/>
      <c r="P158" s="92" t="str">
        <f>IF('[1]Lists and Calcs (Hidden)'!AJ182="","",
                    IF(INDEX('[1]5. Assess Risks'!$G$6:$G$704,MATCH('[1]Lists and Calcs (Hidden)'!AJ182,'[1]Lists and Calcs (Hidden)'!$AB$34:$AB$732,0))="","",
                                    INDEX('[1]5. Assess Risks'!$G$6:$G$704,MATCH('[1]Lists and Calcs (Hidden)'!AJ182,'[1]Lists and Calcs (Hidden)'!$AB$34:$AB$732,0))
))</f>
        <v/>
      </c>
      <c r="Q158" s="92" t="str">
        <f>IF('[1]Lists and Calcs (Hidden)'!AJ182="","",
                    IF(INDEX('[1]5. Assess Risks'!$H$6:$H$704,MATCH('[1]Lists and Calcs (Hidden)'!AJ182,'[1]Lists and Calcs (Hidden)'!$AB$34:$AB$732,0))="","",
                                    INDEX('[1]5. Assess Risks'!$H$6:$H$704,MATCH('[1]Lists and Calcs (Hidden)'!AJ182,'[1]Lists and Calcs (Hidden)'!$AB$34:$AB$732,0))
))</f>
        <v/>
      </c>
      <c r="R158" s="93" t="str">
        <f>IFERROR(IF('[1]2. Prepare'!$O$50="Quantitative",INDEX('[1]Lists and Calcs (Hidden)'!$M$12:$Q$16,MATCH('[1]6. Risk Register Integration'!P158,'[1]Lists and Calcs (Hidden)'!$K$12:$K$16,0),MATCH('[1]6. Risk Register Integration'!Q158,'[1]Lists and Calcs (Hidden)'!$M$10:$Q$10,0)),INDEX('[1]Lists and Calcs (Hidden)'!$Z$12:$AD$16,MATCH('[1]6. Risk Register Integration'!P158,'[1]Lists and Calcs (Hidden)'!$X$12:$X$16,0),MATCH('[1]6. Risk Register Integration'!Q158,'[1]Lists and Calcs (Hidden)'!$Z$10:$AD$10,0))),"")</f>
        <v/>
      </c>
      <c r="S158" s="94" t="str">
        <f>IF('[1]Lists and Calcs (Hidden)'!AJ182="","",
                    IF(INDEX('[1]5. Assess Risks'!$J$6:$J$704,MATCH('[1]Lists and Calcs (Hidden)'!AJ182,'[1]Lists and Calcs (Hidden)'!$AB$34:$AB$732,0))="","",
                                    INDEX('[1]5. Assess Risks'!$J$6:$J$704,MATCH('[1]Lists and Calcs (Hidden)'!AJ182,'[1]Lists and Calcs (Hidden)'!$AB$34:$AB$732,0))
))</f>
        <v/>
      </c>
      <c r="T158" s="102"/>
      <c r="U158" s="105"/>
      <c r="V158" s="106"/>
      <c r="W158" s="105"/>
      <c r="X158" s="105"/>
      <c r="Y158" s="98" t="str">
        <f>IF('[1]Lists and Calcs (Hidden)'!AJ182="","",
                    IF(INDEX('[1]5. Assess Risks'!$L$6:$L$704,MATCH('[1]Lists and Calcs (Hidden)'!AJ182,'[1]Lists and Calcs (Hidden)'!$AB$34:$AB$732,0))="","",
                                    INDEX('[1]5. Assess Risks'!$L$6:$L$704,MATCH('[1]Lists and Calcs (Hidden)'!AJ182,'[1]Lists and Calcs (Hidden)'!$AB$34:$AB$732,0))
))</f>
        <v/>
      </c>
      <c r="Z158" s="95"/>
      <c r="AA158" s="96"/>
      <c r="AB158" s="85"/>
      <c r="AC158" s="86"/>
      <c r="AD158" s="87" t="str">
        <f>IFERROR(IF('[1]2. Prepare'!$O$50="Quantitative",INDEX('[1]Lists and Calcs (Hidden)'!$M$12:$Q$16,MATCH('[1]6. Risk Register Integration'!AB158,'[1]Lists and Calcs (Hidden)'!$K$12:$K$16,0),MATCH('[1]6. Risk Register Integration'!AC158,'[1]Lists and Calcs (Hidden)'!$M$10:$Q$10,0)),INDEX('[1]Lists and Calcs (Hidden)'!$Z$12:$AD$16,MATCH('[1]6. Risk Register Integration'!AB158,'[1]Lists and Calcs (Hidden)'!$X$12:$X$16,0),MATCH('[1]6. Risk Register Integration'!AC158,'[1]Lists and Calcs (Hidden)'!$Z$10:$AD$10,0))),"")</f>
        <v/>
      </c>
      <c r="AE158" s="54"/>
      <c r="AF158" s="4"/>
      <c r="AG158" s="4"/>
    </row>
    <row r="159" spans="2:33" ht="330" customHeight="1" x14ac:dyDescent="0.2">
      <c r="B159" s="108"/>
      <c r="C159" s="89" t="str">
        <f>IF('[1]Lists and Calcs (Hidden)'!AJ183="","",
                    IF(INDEX('[1]5. Assess Risks'!$B$6:$B$704,MATCH('[1]Lists and Calcs (Hidden)'!AJ183,'[1]Lists and Calcs (Hidden)'!$AB$34:$AB$732,0))="","",
                                    INDEX('[1]5. Assess Risks'!$B$6:$B$704,MATCH('[1]Lists and Calcs (Hidden)'!AJ183,'[1]Lists and Calcs (Hidden)'!$AB$34:$AB$732,0))
))</f>
        <v/>
      </c>
      <c r="D159" s="90" t="str">
        <f>IF(C159="", "", '[1]2. Prepare'!$E$6)</f>
        <v/>
      </c>
      <c r="E159" s="91"/>
      <c r="F159" s="91"/>
      <c r="G159" s="91"/>
      <c r="H159" s="91"/>
      <c r="I159" s="89" t="str">
        <f>IF('[1]Lists and Calcs (Hidden)'!AJ183="","",
                    IF(INDEX('[1]5. Assess Risks'!$D$6:$D$704,MATCH('[1]Lists and Calcs (Hidden)'!AJ183,'[1]Lists and Calcs (Hidden)'!$AB$34:$AB$732,0))="","",
                                    INDEX('[1]5. Assess Risks'!$D$6:$D$704,MATCH('[1]Lists and Calcs (Hidden)'!AJ183,'[1]Lists and Calcs (Hidden)'!$AB$34:$AB$732,0))
))</f>
        <v/>
      </c>
      <c r="J159" s="91"/>
      <c r="K159" s="91"/>
      <c r="L159" s="91"/>
      <c r="M159" s="91"/>
      <c r="N159" s="91"/>
      <c r="O159" s="91"/>
      <c r="P159" s="99" t="str">
        <f>IF('[1]Lists and Calcs (Hidden)'!AJ183="","",
                    IF(INDEX('[1]5. Assess Risks'!$G$6:$G$704,MATCH('[1]Lists and Calcs (Hidden)'!AJ183,'[1]Lists and Calcs (Hidden)'!$AB$34:$AB$732,0))="","",
                                    INDEX('[1]5. Assess Risks'!$G$6:$G$704,MATCH('[1]Lists and Calcs (Hidden)'!AJ183,'[1]Lists and Calcs (Hidden)'!$AB$34:$AB$732,0))
))</f>
        <v/>
      </c>
      <c r="Q159" s="99" t="str">
        <f>IF('[1]Lists and Calcs (Hidden)'!AJ183="","",
                    IF(INDEX('[1]5. Assess Risks'!$H$6:$H$704,MATCH('[1]Lists and Calcs (Hidden)'!AJ183,'[1]Lists and Calcs (Hidden)'!$AB$34:$AB$732,0))="","",
                                    INDEX('[1]5. Assess Risks'!$H$6:$H$704,MATCH('[1]Lists and Calcs (Hidden)'!AJ183,'[1]Lists and Calcs (Hidden)'!$AB$34:$AB$732,0))
))</f>
        <v/>
      </c>
      <c r="R159" s="100" t="str">
        <f>IFERROR(IF('[1]2. Prepare'!$O$50="Quantitative",INDEX('[1]Lists and Calcs (Hidden)'!$M$12:$Q$16,MATCH('[1]6. Risk Register Integration'!P159,'[1]Lists and Calcs (Hidden)'!$K$12:$K$16,0),MATCH('[1]6. Risk Register Integration'!Q159,'[1]Lists and Calcs (Hidden)'!$M$10:$Q$10,0)),INDEX('[1]Lists and Calcs (Hidden)'!$Z$12:$AD$16,MATCH('[1]6. Risk Register Integration'!P159,'[1]Lists and Calcs (Hidden)'!$X$12:$X$16,0),MATCH('[1]6. Risk Register Integration'!Q159,'[1]Lists and Calcs (Hidden)'!$Z$10:$AD$10,0))),"")</f>
        <v/>
      </c>
      <c r="S159" s="101" t="str">
        <f>IF('[1]Lists and Calcs (Hidden)'!AJ183="","",
                    IF(INDEX('[1]5. Assess Risks'!$J$6:$J$704,MATCH('[1]Lists and Calcs (Hidden)'!AJ183,'[1]Lists and Calcs (Hidden)'!$AB$34:$AB$732,0))="","",
                                    INDEX('[1]5. Assess Risks'!$J$6:$J$704,MATCH('[1]Lists and Calcs (Hidden)'!AJ183,'[1]Lists and Calcs (Hidden)'!$AB$34:$AB$732,0))
))</f>
        <v/>
      </c>
      <c r="T159" s="102"/>
      <c r="U159" s="105"/>
      <c r="V159" s="106"/>
      <c r="W159" s="105"/>
      <c r="X159" s="105"/>
      <c r="Y159" s="89" t="str">
        <f>IF('[1]Lists and Calcs (Hidden)'!AJ183="","",
                    IF(INDEX('[1]5. Assess Risks'!$L$6:$L$704,MATCH('[1]Lists and Calcs (Hidden)'!AJ183,'[1]Lists and Calcs (Hidden)'!$AB$34:$AB$732,0))="","",
                                    INDEX('[1]5. Assess Risks'!$L$6:$L$704,MATCH('[1]Lists and Calcs (Hidden)'!AJ183,'[1]Lists and Calcs (Hidden)'!$AB$34:$AB$732,0))
))</f>
        <v/>
      </c>
      <c r="Z159" s="95"/>
      <c r="AA159" s="96"/>
      <c r="AB159" s="85"/>
      <c r="AC159" s="86"/>
      <c r="AD159" s="87" t="str">
        <f>IFERROR(IF('[1]2. Prepare'!$O$50="Quantitative",INDEX('[1]Lists and Calcs (Hidden)'!$M$12:$Q$16,MATCH('[1]6. Risk Register Integration'!AB159,'[1]Lists and Calcs (Hidden)'!$K$12:$K$16,0),MATCH('[1]6. Risk Register Integration'!AC159,'[1]Lists and Calcs (Hidden)'!$M$10:$Q$10,0)),INDEX('[1]Lists and Calcs (Hidden)'!$Z$12:$AD$16,MATCH('[1]6. Risk Register Integration'!AB159,'[1]Lists and Calcs (Hidden)'!$X$12:$X$16,0),MATCH('[1]6. Risk Register Integration'!AC159,'[1]Lists and Calcs (Hidden)'!$Z$10:$AD$10,0))),"")</f>
        <v/>
      </c>
      <c r="AE159" s="54"/>
      <c r="AF159" s="4"/>
      <c r="AG159" s="4"/>
    </row>
    <row r="160" spans="2:33" ht="330" customHeight="1" thickBot="1" x14ac:dyDescent="0.25">
      <c r="B160" s="109"/>
      <c r="C160" s="110" t="str">
        <f>IF('[1]Lists and Calcs (Hidden)'!AJ184="","",
                    IF(INDEX('[1]5. Assess Risks'!$B$6:$B$704,MATCH('[1]Lists and Calcs (Hidden)'!AJ184,'[1]Lists and Calcs (Hidden)'!$AB$34:$AB$732,0))="","",
                                    INDEX('[1]5. Assess Risks'!$B$6:$B$704,MATCH('[1]Lists and Calcs (Hidden)'!AJ184,'[1]Lists and Calcs (Hidden)'!$AB$34:$AB$732,0))
))</f>
        <v/>
      </c>
      <c r="D160" s="111" t="str">
        <f>IF(C160="", "", '[1]2. Prepare'!$E$6)</f>
        <v/>
      </c>
      <c r="E160" s="112"/>
      <c r="F160" s="112"/>
      <c r="G160" s="112"/>
      <c r="H160" s="112"/>
      <c r="I160" s="110" t="str">
        <f>IF('[1]Lists and Calcs (Hidden)'!AJ184="","",
                    IF(INDEX('[1]5. Assess Risks'!$D$6:$D$704,MATCH('[1]Lists and Calcs (Hidden)'!AJ184,'[1]Lists and Calcs (Hidden)'!$AB$34:$AB$732,0))="","",
                                    INDEX('[1]5. Assess Risks'!$D$6:$D$704,MATCH('[1]Lists and Calcs (Hidden)'!AJ184,'[1]Lists and Calcs (Hidden)'!$AB$34:$AB$732,0))
))</f>
        <v/>
      </c>
      <c r="J160" s="112"/>
      <c r="K160" s="112"/>
      <c r="L160" s="112"/>
      <c r="M160" s="112"/>
      <c r="N160" s="112"/>
      <c r="O160" s="112"/>
      <c r="P160" s="113" t="str">
        <f>IF('[1]Lists and Calcs (Hidden)'!AJ184="","",
                    IF(INDEX('[1]5. Assess Risks'!$G$6:$G$704,MATCH('[1]Lists and Calcs (Hidden)'!AJ184,'[1]Lists and Calcs (Hidden)'!$AB$34:$AB$732,0))="","",
                                    INDEX('[1]5. Assess Risks'!$G$6:$G$704,MATCH('[1]Lists and Calcs (Hidden)'!AJ184,'[1]Lists and Calcs (Hidden)'!$AB$34:$AB$732,0))
))</f>
        <v/>
      </c>
      <c r="Q160" s="113" t="str">
        <f>IF('[1]Lists and Calcs (Hidden)'!AJ184="","",
                    IF(INDEX('[1]5. Assess Risks'!$H$6:$H$704,MATCH('[1]Lists and Calcs (Hidden)'!AJ184,'[1]Lists and Calcs (Hidden)'!$AB$34:$AB$732,0))="","",
                                    INDEX('[1]5. Assess Risks'!$H$6:$H$704,MATCH('[1]Lists and Calcs (Hidden)'!AJ184,'[1]Lists and Calcs (Hidden)'!$AB$34:$AB$732,0))
))</f>
        <v/>
      </c>
      <c r="R160" s="114" t="str">
        <f>IFERROR(IF('[1]2. Prepare'!$O$50="Quantitative",INDEX('[1]Lists and Calcs (Hidden)'!$M$12:$Q$16,MATCH('[1]6. Risk Register Integration'!P160,'[1]Lists and Calcs (Hidden)'!$K$12:$K$16,0),MATCH('[1]6. Risk Register Integration'!Q160,'[1]Lists and Calcs (Hidden)'!$M$10:$Q$10,0)),INDEX('[1]Lists and Calcs (Hidden)'!$Z$12:$AD$16,MATCH('[1]6. Risk Register Integration'!P160,'[1]Lists and Calcs (Hidden)'!$X$12:$X$16,0),MATCH('[1]6. Risk Register Integration'!Q160,'[1]Lists and Calcs (Hidden)'!$Z$10:$AD$10,0))),"")</f>
        <v/>
      </c>
      <c r="S160" s="115" t="str">
        <f>IF('[1]Lists and Calcs (Hidden)'!AJ184="","",
                    IF(INDEX('[1]5. Assess Risks'!$J$6:$J$704,MATCH('[1]Lists and Calcs (Hidden)'!AJ184,'[1]Lists and Calcs (Hidden)'!$AB$34:$AB$732,0))="","",
                                    INDEX('[1]5. Assess Risks'!$J$6:$J$704,MATCH('[1]Lists and Calcs (Hidden)'!AJ184,'[1]Lists and Calcs (Hidden)'!$AB$34:$AB$732,0))
))</f>
        <v/>
      </c>
      <c r="T160" s="116"/>
      <c r="U160" s="117"/>
      <c r="V160" s="118"/>
      <c r="W160" s="117"/>
      <c r="X160" s="117"/>
      <c r="Y160" s="110" t="str">
        <f>IF('[1]Lists and Calcs (Hidden)'!AJ184="","",
                    IF(INDEX('[1]5. Assess Risks'!$L$6:$L$704,MATCH('[1]Lists and Calcs (Hidden)'!AJ184,'[1]Lists and Calcs (Hidden)'!$AB$34:$AB$732,0))="","",
                                    INDEX('[1]5. Assess Risks'!$L$6:$L$704,MATCH('[1]Lists and Calcs (Hidden)'!AJ184,'[1]Lists and Calcs (Hidden)'!$AB$34:$AB$732,0))
))</f>
        <v/>
      </c>
      <c r="Z160" s="119"/>
      <c r="AA160" s="120"/>
      <c r="AB160" s="121"/>
      <c r="AC160" s="122"/>
      <c r="AD160" s="123" t="str">
        <f>IFERROR(IF('[1]2. Prepare'!$O$50="Quantitative",INDEX('[1]Lists and Calcs (Hidden)'!$M$12:$Q$16,MATCH('[1]6. Risk Register Integration'!AB160,'[1]Lists and Calcs (Hidden)'!$K$12:$K$16,0),MATCH('[1]6. Risk Register Integration'!AC160,'[1]Lists and Calcs (Hidden)'!$M$10:$Q$10,0)),INDEX('[1]Lists and Calcs (Hidden)'!$Z$12:$AD$16,MATCH('[1]6. Risk Register Integration'!AB160,'[1]Lists and Calcs (Hidden)'!$X$12:$X$16,0),MATCH('[1]6. Risk Register Integration'!AC160,'[1]Lists and Calcs (Hidden)'!$Z$10:$AD$10,0))),"")</f>
        <v/>
      </c>
      <c r="AE160" s="54"/>
      <c r="AF160" s="4"/>
      <c r="AG160" s="4"/>
    </row>
  </sheetData>
  <mergeCells count="33">
    <mergeCell ref="Z8:Z9"/>
    <mergeCell ref="AA8:AA9"/>
    <mergeCell ref="AB8:AB9"/>
    <mergeCell ref="AC8:AC9"/>
    <mergeCell ref="AD8:AD9"/>
    <mergeCell ref="T8:T9"/>
    <mergeCell ref="U8:U9"/>
    <mergeCell ref="V8:V9"/>
    <mergeCell ref="W8:W9"/>
    <mergeCell ref="X8:X9"/>
    <mergeCell ref="Y8:Y9"/>
    <mergeCell ref="J8:L8"/>
    <mergeCell ref="M8:O8"/>
    <mergeCell ref="P8:P9"/>
    <mergeCell ref="Q8:Q9"/>
    <mergeCell ref="R8:R9"/>
    <mergeCell ref="S8:S9"/>
    <mergeCell ref="Y7:AA7"/>
    <mergeCell ref="AB7:AD7"/>
    <mergeCell ref="B8:B9"/>
    <mergeCell ref="C8:C9"/>
    <mergeCell ref="D8:D9"/>
    <mergeCell ref="E8:E9"/>
    <mergeCell ref="F8:F9"/>
    <mergeCell ref="G8:G9"/>
    <mergeCell ref="H8:H9"/>
    <mergeCell ref="I8:I9"/>
    <mergeCell ref="B3:G3"/>
    <mergeCell ref="B5:C5"/>
    <mergeCell ref="B6:H6"/>
    <mergeCell ref="C7:H7"/>
    <mergeCell ref="I7:S7"/>
    <mergeCell ref="T7:X7"/>
  </mergeCells>
  <dataValidations count="10">
    <dataValidation type="list" allowBlank="1" showInputMessage="1" showErrorMessage="1" sqref="E10:E160" xr:uid="{DB3B01D4-582B-48FF-AB9B-A37FB6764944}">
      <formula1>EnterpriseRiskCategory</formula1>
    </dataValidation>
    <dataValidation type="list" allowBlank="1" showInputMessage="1" showErrorMessage="1" sqref="F10:F160" xr:uid="{CE54680C-3DC8-42B5-A39C-62AD352ACD17}">
      <formula1>ITRiskCategory</formula1>
    </dataValidation>
    <dataValidation type="list" allowBlank="1" showInputMessage="1" showErrorMessage="1" sqref="H103:H160 H10:H101" xr:uid="{B9FA18A5-9298-4E48-83FB-0AA8545B36E8}">
      <formula1>RiskSource</formula1>
    </dataValidation>
    <dataValidation type="list" allowBlank="1" showInputMessage="1" sqref="H102" xr:uid="{2029684A-C42A-406E-83A3-579056764D2C}">
      <formula1>"Strategic Risk, Reputational Risk, Financial Risk, Non-Financial Risk, Talent 7 Culture Risk, Sustainability (ESG), Conduct Risk Privacy Risk, Legal &amp; Regulatory Risk, AML/Fraud Risk, Data Analytics"</formula1>
    </dataValidation>
    <dataValidation type="list" allowBlank="1" showInputMessage="1" showErrorMessage="1" sqref="P10:P160" xr:uid="{282EBD6E-A30A-4639-AF1C-205D091EC35E}">
      <formula1>Likelihood</formula1>
    </dataValidation>
    <dataValidation type="list" allowBlank="1" showInputMessage="1" showErrorMessage="1" sqref="M10:O160 Q10:Q160" xr:uid="{376D7843-C1AA-4211-BC3F-AA1DAC04B9B8}">
      <formula1>Impact</formula1>
    </dataValidation>
    <dataValidation type="list" allowBlank="1" showInputMessage="1" showErrorMessage="1" sqref="S10:S160" xr:uid="{CDCA625D-37F6-4728-BDA8-B78B81F526E3}">
      <formula1>RiskResponse</formula1>
    </dataValidation>
    <dataValidation type="list" allowBlank="1" showInputMessage="1" sqref="AB10:AB160" xr:uid="{0DD11C1E-1301-4388-9EA8-55F7AD658D92}">
      <formula1>Likelihood</formula1>
    </dataValidation>
    <dataValidation type="list" allowBlank="1" showInputMessage="1" sqref="AC10:AC160" xr:uid="{E2AB5B11-6C7E-4CB8-AB92-919E779D5B0D}">
      <formula1>Impact</formula1>
    </dataValidation>
    <dataValidation allowBlank="1" showInputMessage="1" sqref="G10:G160" xr:uid="{B7D4902E-1D92-4E73-A936-EFF1E51A0748}"/>
  </dataValidations>
  <pageMargins left="0.7" right="0.7" top="0.75" bottom="0.75" header="0.3" footer="0.3"/>
  <legacyDrawing r:id="rId1"/>
</worksheet>
</file>

<file path=docMetadata/LabelInfo.xml><?xml version="1.0" encoding="utf-8"?>
<clbl:labelList xmlns:clbl="http://schemas.microsoft.com/office/2020/mipLabelMetadata">
  <clbl:label id="{9715e697-1c31-4156-8581-01c5d1e29c65}" enabled="1" method="Standard" siteId="{cf4e8a24-641b-40d2-905e-9a328b644fab}"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Government of Saskatchewan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Jaglan, Kulbir SBP</dc:creator>
  <cp:lastModifiedBy>Jaglan, Kulbir SBP</cp:lastModifiedBy>
  <dcterms:created xsi:type="dcterms:W3CDTF">2026-01-20T21:30:01Z</dcterms:created>
  <dcterms:modified xsi:type="dcterms:W3CDTF">2026-01-20T21:30:19Z</dcterms:modified>
</cp:coreProperties>
</file>